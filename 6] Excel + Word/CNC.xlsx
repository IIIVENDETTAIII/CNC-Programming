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lwetb-my.sharepoint.com/personal/26ramazanhuseinov_atc_lwetb_ie/Documents/"/>
    </mc:Choice>
  </mc:AlternateContent>
  <xr:revisionPtr revIDLastSave="2010" documentId="8_{30C24E76-2B2F-41E9-BE8F-14625F2598C8}" xr6:coauthVersionLast="47" xr6:coauthVersionMax="47" xr10:uidLastSave="{43476C8D-62DA-44AD-8239-7D39CCAE72C1}"/>
  <bookViews>
    <workbookView xWindow="-120" yWindow="-120" windowWidth="29040" windowHeight="15720" activeTab="2" xr2:uid="{F2F70B71-5118-4A8B-B0C5-D6E150170F2A}"/>
  </bookViews>
  <sheets>
    <sheet name="CNC Codes" sheetId="1" r:id="rId1"/>
    <sheet name="Formula" sheetId="3" r:id="rId2"/>
    <sheet name="Table of Formulas" sheetId="4" r:id="rId3"/>
    <sheet name="Functions and Addresses" sheetId="5" r:id="rId4"/>
    <sheet name="Tables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4" l="1"/>
  <c r="F21" i="4" s="1"/>
  <c r="G21" i="4" s="1"/>
  <c r="I21" i="4" s="1"/>
  <c r="L21" i="4" s="1"/>
  <c r="C21" i="4"/>
  <c r="F4" i="4"/>
  <c r="G4" i="4" s="1"/>
  <c r="I4" i="4" s="1"/>
  <c r="L4" i="4" s="1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" i="4"/>
  <c r="F2" i="4" s="1"/>
  <c r="G2" i="4" s="1"/>
  <c r="I2" i="4" s="1"/>
  <c r="L2" i="4" s="1"/>
  <c r="B20" i="4"/>
  <c r="B19" i="4"/>
  <c r="B18" i="4"/>
  <c r="B17" i="4"/>
  <c r="B16" i="4"/>
  <c r="B15" i="4"/>
  <c r="F15" i="4" s="1"/>
  <c r="B14" i="4"/>
  <c r="F14" i="4" s="1"/>
  <c r="B13" i="4"/>
  <c r="B12" i="4"/>
  <c r="B11" i="4"/>
  <c r="B10" i="4"/>
  <c r="B3" i="4"/>
  <c r="F3" i="4" s="1"/>
  <c r="B4" i="4"/>
  <c r="B5" i="4"/>
  <c r="F5" i="4" s="1"/>
  <c r="B6" i="4"/>
  <c r="F6" i="4" s="1"/>
  <c r="B7" i="4"/>
  <c r="B8" i="4"/>
  <c r="B9" i="4"/>
  <c r="B2" i="4"/>
  <c r="F19" i="4" l="1"/>
  <c r="G19" i="4" s="1"/>
  <c r="I19" i="4" s="1"/>
  <c r="L19" i="4" s="1"/>
  <c r="F13" i="4"/>
  <c r="G13" i="4" s="1"/>
  <c r="I13" i="4" s="1"/>
  <c r="L13" i="4" s="1"/>
  <c r="F7" i="4"/>
  <c r="G7" i="4" s="1"/>
  <c r="I7" i="4" s="1"/>
  <c r="L7" i="4" s="1"/>
  <c r="F8" i="4"/>
  <c r="F18" i="4"/>
  <c r="G18" i="4" s="1"/>
  <c r="I18" i="4" s="1"/>
  <c r="L18" i="4" s="1"/>
  <c r="F12" i="4"/>
  <c r="G12" i="4" s="1"/>
  <c r="I12" i="4" s="1"/>
  <c r="L12" i="4" s="1"/>
  <c r="F9" i="4"/>
  <c r="F17" i="4"/>
  <c r="F11" i="4"/>
  <c r="F16" i="4"/>
  <c r="G16" i="4" s="1"/>
  <c r="I16" i="4" s="1"/>
  <c r="L16" i="4" s="1"/>
  <c r="F10" i="4"/>
  <c r="G10" i="4" s="1"/>
  <c r="I10" i="4" s="1"/>
  <c r="L10" i="4" s="1"/>
  <c r="F20" i="4"/>
  <c r="G20" i="4" s="1"/>
  <c r="I20" i="4" s="1"/>
  <c r="L20" i="4" s="1"/>
  <c r="G15" i="4"/>
  <c r="I15" i="4" s="1"/>
  <c r="L15" i="4" s="1"/>
  <c r="G14" i="4"/>
  <c r="I14" i="4" s="1"/>
  <c r="L14" i="4" s="1"/>
  <c r="G9" i="4"/>
  <c r="I9" i="4" s="1"/>
  <c r="L9" i="4" s="1"/>
  <c r="G8" i="4"/>
  <c r="I8" i="4" s="1"/>
  <c r="L8" i="4" s="1"/>
  <c r="G6" i="4"/>
  <c r="I6" i="4" s="1"/>
  <c r="L6" i="4" s="1"/>
  <c r="G5" i="4"/>
  <c r="I5" i="4" s="1"/>
  <c r="L5" i="4" s="1"/>
  <c r="G3" i="4"/>
  <c r="I3" i="4" s="1"/>
  <c r="L3" i="4" s="1"/>
  <c r="G11" i="4"/>
  <c r="I11" i="4" s="1"/>
  <c r="L11" i="4" s="1"/>
  <c r="G17" i="4"/>
  <c r="I17" i="4" s="1"/>
  <c r="L17" i="4" s="1"/>
</calcChain>
</file>

<file path=xl/sharedStrings.xml><?xml version="1.0" encoding="utf-8"?>
<sst xmlns="http://schemas.openxmlformats.org/spreadsheetml/2006/main" count="547" uniqueCount="368">
  <si>
    <t>S.No</t>
  </si>
  <si>
    <t>STAR</t>
  </si>
  <si>
    <t>G-Code</t>
  </si>
  <si>
    <t>Descroption</t>
  </si>
  <si>
    <t>Format</t>
  </si>
  <si>
    <t>Additional Information</t>
  </si>
  <si>
    <t>Milling</t>
  </si>
  <si>
    <t>Turning</t>
  </si>
  <si>
    <t>🔰</t>
  </si>
  <si>
    <t>G00</t>
  </si>
  <si>
    <t>Rapid movement (Быстрое перемещение)</t>
  </si>
  <si>
    <t>G00 X0 Y0</t>
  </si>
  <si>
    <t>Tool movement when not cutting material (Перемещение инструмента к точке без резки)</t>
  </si>
  <si>
    <t>5% 25% 50% 75%</t>
  </si>
  <si>
    <t>G01</t>
  </si>
  <si>
    <t>Linear Movement (Линейная интерполяция)</t>
  </si>
  <si>
    <t>G01 X0 Y0 F0</t>
  </si>
  <si>
    <t>Controlled cutting movement with feed rate (Основной код для резки с заданной скоростью (F))</t>
  </si>
  <si>
    <t>G02</t>
  </si>
  <si>
    <t>Circular Movement (CW) (Круговое движение по часовой)</t>
  </si>
  <si>
    <t>G02 X0 Y0 I0 J0 F0</t>
  </si>
  <si>
    <t>Clockwise arc movement (Для дуг и окружностей, задаются I,J — центр дуги)</t>
  </si>
  <si>
    <t>G03</t>
  </si>
  <si>
    <t>Circular Interpolation (CCW) (Круговое движение против часовой)</t>
  </si>
  <si>
    <t>G03 X0 Y0 I0 J0 F0</t>
  </si>
  <si>
    <t>Counter-clockwise arc movement (Для дуг и окружностей)</t>
  </si>
  <si>
    <t>G04</t>
  </si>
  <si>
    <t>Dwell (Задержка)</t>
  </si>
  <si>
    <t>G04 P0</t>
  </si>
  <si>
    <t>Pause for specified time (Паузa на P секунд, часто при сверлении)</t>
  </si>
  <si>
    <t>G09</t>
  </si>
  <si>
    <t>Exact stop</t>
  </si>
  <si>
    <t>G10</t>
  </si>
  <si>
    <t>Modifies Work Coordinate Position</t>
  </si>
  <si>
    <t>G15</t>
  </si>
  <si>
    <t>Polar Coordinates Off</t>
  </si>
  <si>
    <t>G16</t>
  </si>
  <si>
    <t>Polar Coordinates On</t>
  </si>
  <si>
    <t>G17</t>
  </si>
  <si>
    <t>XY Plane selection (Выбор плоскости XY)</t>
  </si>
  <si>
    <t>Select XY plane (По умолчанию для фрезерования)</t>
  </si>
  <si>
    <t>G18</t>
  </si>
  <si>
    <t>ZX Plane selection (Выбор плоскости ZX)</t>
  </si>
  <si>
    <t>Select ZX plane (Для некоторых сложных операций)</t>
  </si>
  <si>
    <t>G19</t>
  </si>
  <si>
    <t>YZ Plane Selection (Выбор плоскости YZ)</t>
  </si>
  <si>
    <t>Select YZ plane (Для 3D операций)</t>
  </si>
  <si>
    <t>G20</t>
  </si>
  <si>
    <t>Units in inches (Единицы: дюймы / мм)</t>
  </si>
  <si>
    <t>Set units to inches (Зависит от программы и инструмента)</t>
  </si>
  <si>
    <t>G21</t>
  </si>
  <si>
    <t>G22</t>
  </si>
  <si>
    <t>Stored Stoke Limit On</t>
  </si>
  <si>
    <t>G23</t>
  </si>
  <si>
    <t>Stored Stoke Limit Off</t>
  </si>
  <si>
    <t>G27</t>
  </si>
  <si>
    <t>Reference Point Return Check</t>
  </si>
  <si>
    <t>G28</t>
  </si>
  <si>
    <t>G28 X0 Y0 Z0</t>
  </si>
  <si>
    <t>G29</t>
  </si>
  <si>
    <t>Return from reference point</t>
  </si>
  <si>
    <t>G30</t>
  </si>
  <si>
    <t xml:space="preserve">	Return to alternate home position</t>
  </si>
  <si>
    <t>G31</t>
  </si>
  <si>
    <t xml:space="preserve">	External skip function (Probe trigger)</t>
  </si>
  <si>
    <t>G33</t>
  </si>
  <si>
    <t>Thread cutting, constant lead</t>
  </si>
  <si>
    <t>G34</t>
  </si>
  <si>
    <t>Thread cutting, increasing lead</t>
  </si>
  <si>
    <t>G35</t>
  </si>
  <si>
    <t xml:space="preserve">	Thread cutting, decreasing lead</t>
  </si>
  <si>
    <t>G40</t>
  </si>
  <si>
    <t>Tool compensation cancel</t>
  </si>
  <si>
    <t>G41</t>
  </si>
  <si>
    <t xml:space="preserve">	Tool compensation left</t>
  </si>
  <si>
    <t>G42</t>
  </si>
  <si>
    <t>Tool compensation right</t>
  </si>
  <si>
    <t>G43</t>
  </si>
  <si>
    <t>Tool length compensation (+)</t>
  </si>
  <si>
    <t>G44</t>
  </si>
  <si>
    <t>Tool length compensation (-)</t>
  </si>
  <si>
    <t>G49</t>
  </si>
  <si>
    <t xml:space="preserve">	Cancel tool length compensation</t>
  </si>
  <si>
    <t>G52</t>
  </si>
  <si>
    <t>Offset axis relative to 0 point</t>
  </si>
  <si>
    <t>G53</t>
  </si>
  <si>
    <t>Cancel Axsis Ofset</t>
  </si>
  <si>
    <t>G54</t>
  </si>
  <si>
    <t xml:space="preserve">	Select coordinate system #1</t>
  </si>
  <si>
    <t>G55</t>
  </si>
  <si>
    <t>Select coordinate system #2</t>
  </si>
  <si>
    <t>G56</t>
  </si>
  <si>
    <t>Select coordinate system #3</t>
  </si>
  <si>
    <t>G57</t>
  </si>
  <si>
    <t>Select coordinate system #4</t>
  </si>
  <si>
    <t>G58</t>
  </si>
  <si>
    <t>Select coordinate system #5</t>
  </si>
  <si>
    <t>G59</t>
  </si>
  <si>
    <t>Select coordinate system #6</t>
  </si>
  <si>
    <t>G61</t>
  </si>
  <si>
    <t>Exact stop check mode</t>
  </si>
  <si>
    <t>G62</t>
  </si>
  <si>
    <t>Automatic corner overide</t>
  </si>
  <si>
    <t>G64</t>
  </si>
  <si>
    <t>Cancels Exact stop mode (G61)</t>
  </si>
  <si>
    <t>G65</t>
  </si>
  <si>
    <t>Macro Call</t>
  </si>
  <si>
    <t>G66</t>
  </si>
  <si>
    <t>Modal mode for Macro Call</t>
  </si>
  <si>
    <t>G67</t>
  </si>
  <si>
    <t>Cancel modal mode for Macro Call (G66)</t>
  </si>
  <si>
    <t>G68</t>
  </si>
  <si>
    <t>Coordinate syslaim rotation ON</t>
  </si>
  <si>
    <t>G69</t>
  </si>
  <si>
    <t>Coordinate syslaim rotation OFF</t>
  </si>
  <si>
    <t>G70</t>
  </si>
  <si>
    <t>Finishing Canned Cycle</t>
  </si>
  <si>
    <t>G71</t>
  </si>
  <si>
    <t>Rough Turning Canned Cycle</t>
  </si>
  <si>
    <t>Okuma Threading Cycle</t>
  </si>
  <si>
    <t>G72</t>
  </si>
  <si>
    <t>Facing Cycle</t>
  </si>
  <si>
    <t>G73</t>
  </si>
  <si>
    <t>Peck drilling cycle</t>
  </si>
  <si>
    <t>G74</t>
  </si>
  <si>
    <t>Milling tapping cycle</t>
  </si>
  <si>
    <t>Lathe pecking drilling Cycle</t>
  </si>
  <si>
    <t>G75</t>
  </si>
  <si>
    <t>Lath Grooving canned cycle</t>
  </si>
  <si>
    <t>G76</t>
  </si>
  <si>
    <t>Lathe threading cycle</t>
  </si>
  <si>
    <t>Milling fine boring cycle</t>
  </si>
  <si>
    <t>G80</t>
  </si>
  <si>
    <t>Canned cycles cancelation</t>
  </si>
  <si>
    <t>G81</t>
  </si>
  <si>
    <t>Drilling cycle without dwell</t>
  </si>
  <si>
    <t>G82</t>
  </si>
  <si>
    <t>Drilling cycle with dwell</t>
  </si>
  <si>
    <t>G83</t>
  </si>
  <si>
    <t>Deep hole, peck drilling cycle</t>
  </si>
  <si>
    <t>G84</t>
  </si>
  <si>
    <t>Tapping cycle</t>
  </si>
  <si>
    <t>G85</t>
  </si>
  <si>
    <t>boring, no dwell, feed out</t>
  </si>
  <si>
    <t>G86</t>
  </si>
  <si>
    <t>boring, spindle stop, rapid out</t>
  </si>
  <si>
    <t>G87</t>
  </si>
  <si>
    <t>boring cycle with manual retraction</t>
  </si>
  <si>
    <t>G88</t>
  </si>
  <si>
    <t>Boring cycle with spindle stop</t>
  </si>
  <si>
    <t>G89</t>
  </si>
  <si>
    <t>Boring cycle with Dwell</t>
  </si>
  <si>
    <t>G90</t>
  </si>
  <si>
    <t>Absolute programming (Абсолютное программирование)</t>
  </si>
  <si>
    <t>G91</t>
  </si>
  <si>
    <t>Incremental programming (Инкрементное программирование)</t>
  </si>
  <si>
    <t>G92</t>
  </si>
  <si>
    <t>Temporary Zero point</t>
  </si>
  <si>
    <t>G93</t>
  </si>
  <si>
    <t>Feedrate mode - Inverse time</t>
  </si>
  <si>
    <t>G94</t>
  </si>
  <si>
    <t>Feedrate mode - by time</t>
  </si>
  <si>
    <t>G95</t>
  </si>
  <si>
    <t>Feedrate mode - Per revolution</t>
  </si>
  <si>
    <t>G96</t>
  </si>
  <si>
    <t>Constant Surface Speed Control</t>
  </si>
  <si>
    <t>G97</t>
  </si>
  <si>
    <t>Constant Spindle Speed Control</t>
  </si>
  <si>
    <t>G98</t>
  </si>
  <si>
    <t>Return to initial point in canned cycle</t>
  </si>
  <si>
    <t>G99</t>
  </si>
  <si>
    <t>Return to reference point in canned cycle</t>
  </si>
  <si>
    <t>G code syntax</t>
  </si>
  <si>
    <t>Letter</t>
  </si>
  <si>
    <t>Role</t>
  </si>
  <si>
    <t>X,Y,Z,A,B,C</t>
  </si>
  <si>
    <t>Coordinates for Movement</t>
  </si>
  <si>
    <t>F</t>
  </si>
  <si>
    <t>Spindle Speed – The speed at which the spindle should be rotating.</t>
  </si>
  <si>
    <t>S</t>
  </si>
  <si>
    <t>Spindle Speed – The speed the spindle should be rotating.</t>
  </si>
  <si>
    <t>I,J,K</t>
  </si>
  <si>
    <t>Arc center for G02/G03</t>
  </si>
  <si>
    <t>O</t>
  </si>
  <si>
    <t>Program Number</t>
  </si>
  <si>
    <t>N</t>
  </si>
  <si>
    <t>Line (Block) Number</t>
  </si>
  <si>
    <t>M</t>
  </si>
  <si>
    <t>Miscellaneous function – See separate List</t>
  </si>
  <si>
    <t>T</t>
  </si>
  <si>
    <t>Select a tool from Magazine / Turret</t>
  </si>
  <si>
    <t>P</t>
  </si>
  <si>
    <t>Parameter Number</t>
  </si>
  <si>
    <t>G-code Glossary</t>
  </si>
  <si>
    <t>Term</t>
  </si>
  <si>
    <t>Definition</t>
  </si>
  <si>
    <t>Block</t>
  </si>
  <si>
    <t>A single line of G-code, typically starting with a letter followed by numbers.</t>
  </si>
  <si>
    <t>Canned Cycle</t>
  </si>
  <si>
    <t>A predefined, simplified machining cycle (e.g., drilling, tapping) executed with a single G-code.</t>
  </si>
  <si>
    <t>Dwell</t>
  </si>
  <si>
    <t>A programmed pause. Duration is typically defined by the “P” parameter in seconds.</t>
  </si>
  <si>
    <t>EOB</t>
  </si>
  <si>
    <t>End of Block – usually represented by a carriage return. Required at the end of every line of code.</t>
  </si>
  <si>
    <t>Feedrate (F)</t>
  </si>
  <si>
    <t>The programmed speed at which the cutting tool moves through the material.</t>
  </si>
  <si>
    <t>Group</t>
  </si>
  <si>
    <t>A set of G-codes that share a function or mode (e.g., G90 and G91 for positioning modes).</t>
  </si>
  <si>
    <t>Modal</t>
  </si>
  <si>
    <t>A G-code that stays active until another from the same group is called.</t>
  </si>
  <si>
    <t>Origin</t>
  </si>
  <si>
    <t>The (0,0,0) point in the coordinate system of the part.</t>
  </si>
  <si>
    <t>RPM</t>
  </si>
  <si>
    <t>Revolutions Per Minute – spindle speed. Defined by the “S” parameter.</t>
  </si>
  <si>
    <t>Toolpath</t>
  </si>
  <si>
    <t>The path the cutting tool follows as it moves through the material.</t>
  </si>
  <si>
    <t>Word</t>
  </si>
  <si>
    <t>A basic unit in G-code: a letter followed by a number (e.g., G01, X50.0).</t>
  </si>
  <si>
    <t>X, Y, Z</t>
  </si>
  <si>
    <t>Axes of movement in Cartesian coordinates.</t>
  </si>
  <si>
    <t>A, B, C</t>
  </si>
  <si>
    <t>Rotational axes around X, Y, and Z, respectively.</t>
  </si>
  <si>
    <t>I, J, K</t>
  </si>
  <si>
    <t>Define the arc center for circular interpolation (used with G02 and G03).</t>
  </si>
  <si>
    <t>Line or block number (used for program organization).</t>
  </si>
  <si>
    <t>Typically used for dwell time, subprogram numbers, or other parameters.</t>
  </si>
  <si>
    <t>R</t>
  </si>
  <si>
    <t>Radius value for arcs or canned cycles.</t>
  </si>
  <si>
    <t>Tool number – selects the tool from the magazine or turret.</t>
  </si>
  <si>
    <t>Spindle speed – how fast the spindle rotates.</t>
  </si>
  <si>
    <t>M-code</t>
  </si>
  <si>
    <t>Commands for machine functions (e.g., M03 = spindle on, M08 = coolant on).</t>
  </si>
  <si>
    <t>G-code</t>
  </si>
  <si>
    <t>Commands for geometry and motion (e.g., G01 = linear cut, G02 = clockwise arc).</t>
  </si>
  <si>
    <t>M Codes</t>
  </si>
  <si>
    <t>M-Code</t>
  </si>
  <si>
    <t xml:space="preserve">	The spindle will start to rotate in CW direction at the speed given in the S parameter</t>
  </si>
  <si>
    <t>M00</t>
  </si>
  <si>
    <t>Machine Stop (Остановка машины)</t>
  </si>
  <si>
    <t>The Machine will stop the operation in the middle of the program (Для контроля или замены инструмента)</t>
  </si>
  <si>
    <t>M01</t>
  </si>
  <si>
    <t>Optional stop (Опциональная остановка)</t>
  </si>
  <si>
    <t>The machine will stop in the middle of the program only if the optional stop button is “On”. (Для контроля или замены инструмента)</t>
  </si>
  <si>
    <t>M02</t>
  </si>
  <si>
    <t>Program End</t>
  </si>
  <si>
    <t>End of Program</t>
  </si>
  <si>
    <t>M03</t>
  </si>
  <si>
    <t>Spindle on CW direction (Включение шпинделя по часовой)</t>
  </si>
  <si>
    <t>The spindle will start to rotate in CW direction at the speed given in the S parameter. (Основное включение шпинделя при резке)</t>
  </si>
  <si>
    <t>M04</t>
  </si>
  <si>
    <t>Spindle on CCW direction (Включение шпинделя против часовой)</t>
  </si>
  <si>
    <t>The spindle will start to rotate in CCW direction at the speed given in the S parameter. (Редко, обычно для резьбовых операций)</t>
  </si>
  <si>
    <t>M05</t>
  </si>
  <si>
    <t>Spindle stop (Остановка шпинделя)</t>
  </si>
  <si>
    <t>The spindle will stop rotating (После завершения операции)</t>
  </si>
  <si>
    <t>M06</t>
  </si>
  <si>
    <t>Automatic tool change (ATC) (Смена инструмента)</t>
  </si>
  <si>
    <t>instructs the CNC machine to switch the current tool with the specified tool number from the tool magazine. (Если станок с автоматической сменой инструмента)</t>
  </si>
  <si>
    <t>M07</t>
  </si>
  <si>
    <t>Mist (Shower) Coolant On (Включение СОЖ (Mist/Flood))</t>
  </si>
  <si>
    <t>A spray of coolant fluid droplets (Для охлаждения инструмента)</t>
  </si>
  <si>
    <t>M08</t>
  </si>
  <si>
    <t>Flood Coolant On (Включение СОЖ (Mist/Flood))</t>
  </si>
  <si>
    <t>An overflowing of coolant fluid. (Для охлаждения инструмента)</t>
  </si>
  <si>
    <t>M09</t>
  </si>
  <si>
    <t>Coolant off (Выключение СОЖ)</t>
  </si>
  <si>
    <t>Shut down the coolant (Both M07 &amp; M08) (После резки)</t>
  </si>
  <si>
    <t>M30</t>
  </si>
  <si>
    <t>End of Program (Конец программы)</t>
  </si>
  <si>
    <t>Stops the spindle, turns off coolant, rewinds, and resets the CNC program to the beginning. (Сброс и возврат в начало)</t>
  </si>
  <si>
    <t>M41-M44</t>
  </si>
  <si>
    <t>Gear selection</t>
  </si>
  <si>
    <t>Select the gear suitable for the spindle speed (ON lathe Machines)</t>
  </si>
  <si>
    <t>M48</t>
  </si>
  <si>
    <t>Speed/feed override On</t>
  </si>
  <si>
    <t>Allows the operator to use machine control dials to adjust feed and spindle speed during operation.</t>
  </si>
  <si>
    <t>M49</t>
  </si>
  <si>
    <t>Speed/Feed override Off</t>
  </si>
  <si>
    <t>Operator speed/feed override is ignored.</t>
  </si>
  <si>
    <t>M98</t>
  </si>
  <si>
    <t>Subprogram call (Вызов / возврат из подпрограммы)</t>
  </si>
  <si>
    <t>Passes control to the subprogram number provided in parameter P (Для повторяющихся циклов)</t>
  </si>
  <si>
    <t>M99</t>
  </si>
  <si>
    <t>Subprogram end (Вызов / возврат из подпрограммы)</t>
  </si>
  <si>
    <t>Ends a subprogram or loop and returns control to the calling program. (Для повторяющихся циклов)</t>
  </si>
  <si>
    <t>RPM Formula</t>
  </si>
  <si>
    <t>Vc x 1000</t>
  </si>
  <si>
    <t>n</t>
  </si>
  <si>
    <t>-</t>
  </si>
  <si>
    <t>RPM (rev/min S-Code)</t>
  </si>
  <si>
    <t>and Turning</t>
  </si>
  <si>
    <t>D x π</t>
  </si>
  <si>
    <t>Vc</t>
  </si>
  <si>
    <t>Cutting Speed (m/min) - from tool supplier</t>
  </si>
  <si>
    <t>D</t>
  </si>
  <si>
    <t>Tool Diameter (mm)</t>
  </si>
  <si>
    <t>Feed Rate Formula for milling</t>
  </si>
  <si>
    <t>π</t>
  </si>
  <si>
    <t>Pi value 3.14</t>
  </si>
  <si>
    <t>Vf</t>
  </si>
  <si>
    <t>Table feed (mm/min F-Code)</t>
  </si>
  <si>
    <t>Fz</t>
  </si>
  <si>
    <t>Feed per Tooth (mm) - from tool supplier</t>
  </si>
  <si>
    <t>Feed Rate for Drills</t>
  </si>
  <si>
    <t>Number of Teeth</t>
  </si>
  <si>
    <t>Feed per Revolution (mm)</t>
  </si>
  <si>
    <t>Vc in m/m</t>
  </si>
  <si>
    <t>Vc*1000</t>
  </si>
  <si>
    <t>π 3.14*D</t>
  </si>
  <si>
    <t>Diameter &gt; mm</t>
  </si>
  <si>
    <t>Speed N</t>
  </si>
  <si>
    <t>Speed 75%</t>
  </si>
  <si>
    <t>Speed</t>
  </si>
  <si>
    <t>No. of Fluter</t>
  </si>
  <si>
    <t>Feed per tooth</t>
  </si>
  <si>
    <t>Feed speed</t>
  </si>
  <si>
    <t>1] On a milling machine using an end mill 010mm with 3 flutes, calculate the FEED and RPM necessary to cut a slot. Use Surface Cutting Speed of 8O m/min &amp; Feed rate if 0.05 per tooth.</t>
  </si>
  <si>
    <t>=</t>
  </si>
  <si>
    <t>8O x 1OOO</t>
  </si>
  <si>
    <t>Vc x 1OOO</t>
  </si>
  <si>
    <t>8O OOO</t>
  </si>
  <si>
    <t>1O x 3.14</t>
  </si>
  <si>
    <t>&gt;</t>
  </si>
  <si>
    <t>Feed Rate milling</t>
  </si>
  <si>
    <t>Fv</t>
  </si>
  <si>
    <t>0,05</t>
  </si>
  <si>
    <t>x</t>
  </si>
  <si>
    <t>Feed Rate Drills</t>
  </si>
  <si>
    <t>0,15</t>
  </si>
  <si>
    <r>
      <rPr>
        <b/>
        <sz val="11"/>
        <color theme="1"/>
        <rFont val="ItalicC"/>
      </rPr>
      <t>n</t>
    </r>
    <r>
      <rPr>
        <b/>
        <sz val="11"/>
        <color theme="1"/>
        <rFont val="Consolas"/>
        <family val="3"/>
      </rPr>
      <t xml:space="preserve"> =</t>
    </r>
  </si>
  <si>
    <r>
      <t>F</t>
    </r>
    <r>
      <rPr>
        <b/>
        <sz val="11"/>
        <color theme="1"/>
        <rFont val="ItalicC"/>
      </rPr>
      <t>n</t>
    </r>
  </si>
  <si>
    <r>
      <t>Z</t>
    </r>
    <r>
      <rPr>
        <b/>
        <sz val="11"/>
        <color theme="1"/>
        <rFont val="ItalicC"/>
      </rPr>
      <t>n</t>
    </r>
  </si>
  <si>
    <r>
      <rPr>
        <b/>
        <sz val="11"/>
        <color theme="1"/>
        <rFont val="ItalicC"/>
      </rPr>
      <t>n</t>
    </r>
    <r>
      <rPr>
        <b/>
        <sz val="11"/>
        <color theme="1"/>
        <rFont val="Aptos Narrow"/>
        <family val="2"/>
        <scheme val="minor"/>
      </rPr>
      <t>=</t>
    </r>
  </si>
  <si>
    <r>
      <t>Vf = Fz x Z</t>
    </r>
    <r>
      <rPr>
        <b/>
        <sz val="11"/>
        <color theme="1"/>
        <rFont val="ItalicC"/>
      </rPr>
      <t>n</t>
    </r>
    <r>
      <rPr>
        <b/>
        <sz val="11"/>
        <color theme="1"/>
        <rFont val="Aptos Narrow"/>
        <family val="2"/>
        <scheme val="minor"/>
      </rPr>
      <t xml:space="preserve"> x </t>
    </r>
    <r>
      <rPr>
        <b/>
        <sz val="11"/>
        <color theme="1"/>
        <rFont val="ItalicC"/>
      </rPr>
      <t>n</t>
    </r>
  </si>
  <si>
    <r>
      <t>Vf = F</t>
    </r>
    <r>
      <rPr>
        <b/>
        <sz val="11"/>
        <color theme="1"/>
        <rFont val="ItalicC"/>
      </rPr>
      <t>n</t>
    </r>
    <r>
      <rPr>
        <b/>
        <sz val="11"/>
        <color theme="1"/>
        <rFont val="Aptos Narrow"/>
        <family val="2"/>
        <scheme val="minor"/>
      </rPr>
      <t xml:space="preserve"> x </t>
    </r>
    <r>
      <rPr>
        <b/>
        <sz val="11"/>
        <color theme="1"/>
        <rFont val="ItalicC"/>
      </rPr>
      <t>n</t>
    </r>
  </si>
  <si>
    <r>
      <t>F</t>
    </r>
    <r>
      <rPr>
        <sz val="11"/>
        <color theme="1"/>
        <rFont val="ItalicC"/>
      </rPr>
      <t>n</t>
    </r>
  </si>
  <si>
    <t>Function and Addresses</t>
  </si>
  <si>
    <t>Function</t>
  </si>
  <si>
    <t>Address</t>
  </si>
  <si>
    <t>Beginning and End Markets</t>
  </si>
  <si>
    <t>Sequence or Block Nubmer</t>
  </si>
  <si>
    <t>Preparatory Function</t>
  </si>
  <si>
    <t>Dimensional Words</t>
  </si>
  <si>
    <t>%</t>
  </si>
  <si>
    <t>G</t>
  </si>
  <si>
    <t>Linear axis</t>
  </si>
  <si>
    <t>Rotary axis</t>
  </si>
  <si>
    <t>Additional axis</t>
  </si>
  <si>
    <t>Radius / Reference plane</t>
  </si>
  <si>
    <t>Vector</t>
  </si>
  <si>
    <t>X,Y,Z</t>
  </si>
  <si>
    <t>A,B,C</t>
  </si>
  <si>
    <t>U,V,W</t>
  </si>
  <si>
    <t>Feed Function</t>
  </si>
  <si>
    <t>Spindle Speed</t>
  </si>
  <si>
    <t>Tool Number</t>
  </si>
  <si>
    <t>Miscellaneous Function</t>
  </si>
  <si>
    <t>F(E)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</si>
  <si>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</si>
  <si>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Units in millimeters (Единицы: мм)</t>
  </si>
  <si>
    <t>Set units to millimeters (Если этого не указать станок может работать в дюймах)</t>
  </si>
  <si>
    <t>(Отмена коррекции радиуса инструмента. Обязательно перед началом - чтобы не осталось старых смещений)</t>
  </si>
  <si>
    <t>(Отмена коррекции длины инструмента)</t>
  </si>
  <si>
    <t>Move to machine zero (это G-код для автоматического возврата в исходную позицию (референтную точку, "домашнюю" позицию) -  Нулевая позиция станка</t>
  </si>
  <si>
    <t xml:space="preserve"> </t>
  </si>
  <si>
    <t>Координаты относительные от текущей позиции (Перемещения от текущей позиции)</t>
  </si>
  <si>
    <t>Это значит: Все X Y Z - относительно нуля детали устанавливает режим абсолютных координат для всех последующих перемещений инструмента. Это один из самых фундаментальных и часто используемых режимов в ЧПУ программировании - Все движения: от фиксированного нуля → к указанной точке [G90 G00 X10 Y10  ; Перемещение в точку (10,10) от нуля детали]</t>
  </si>
  <si>
    <t>Рабочая система координат (Оранжевая точка)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</si>
</sst>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Aptos Narrow"/>
      <family val="2"/>
      <scheme val="minor"/>
    </font>
    <font>
      <sz val="11"/>
      <color theme="1"/>
      <name val="Consolas"/>
      <family val="3"/>
    </font>
    <font>
      <b/>
      <sz val="12"/>
      <color theme="1"/>
      <name val="Consolas"/>
      <family val="3"/>
    </font>
    <font>
      <sz val="10"/>
      <color theme="5" tint="-0.249977111117893"/>
      <name val="Consolas"/>
      <family val="3"/>
    </font>
    <font>
      <sz val="12"/>
      <color rgb="FFFF0000"/>
      <name val="Consolas"/>
      <family val="3"/>
    </font>
    <font>
      <sz val="8"/>
      <name val="Aptos Narrow"/>
      <family val="2"/>
      <scheme val="minor"/>
    </font>
    <font>
      <b/>
      <sz val="18"/>
      <color theme="0"/>
      <name val="Consolas"/>
      <family val="3"/>
    </font>
    <font>
      <sz val="14"/>
      <color theme="5" tint="-0.249977111117893"/>
      <name val="Consolas"/>
      <family val="3"/>
    </font>
    <font>
      <sz val="16"/>
      <color theme="1"/>
      <name val="Consolas"/>
      <family val="3"/>
    </font>
    <font>
      <sz val="18"/>
      <color theme="5" tint="-0.249977111117893"/>
      <name val="Consolas"/>
      <family val="3"/>
    </font>
    <font>
      <i/>
      <sz val="16"/>
      <color theme="1"/>
      <name val="Consolas"/>
      <family val="3"/>
    </font>
    <font>
      <sz val="20"/>
      <color theme="5" tint="-0.249977111117893"/>
      <name val="Consolas"/>
      <family val="3"/>
    </font>
    <font>
      <b/>
      <sz val="26"/>
      <color theme="0"/>
      <name val="Consolas"/>
      <family val="3"/>
    </font>
    <font>
      <b/>
      <sz val="36"/>
      <color theme="0"/>
      <name val="Consolas"/>
      <family val="3"/>
    </font>
    <font>
      <b/>
      <sz val="28"/>
      <color theme="0"/>
      <name val="Consolas"/>
      <family val="3"/>
    </font>
    <font>
      <i/>
      <sz val="18"/>
      <color theme="1"/>
      <name val="Consolas"/>
      <family val="3"/>
    </font>
    <font>
      <b/>
      <sz val="20"/>
      <color theme="0"/>
      <name val="Consolas"/>
      <family val="3"/>
    </font>
    <font>
      <sz val="18"/>
      <color rgb="FFFF0000"/>
      <name val="Consolas"/>
      <family val="3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u/>
      <sz val="20"/>
      <color theme="0"/>
      <name val="Consolas"/>
      <family val="3"/>
    </font>
    <font>
      <b/>
      <sz val="11"/>
      <color theme="1"/>
      <name val="Consolas"/>
      <family val="3"/>
    </font>
    <font>
      <u/>
      <sz val="11"/>
      <color theme="1"/>
      <name val="Consolas"/>
      <family val="3"/>
    </font>
    <font>
      <sz val="11"/>
      <color theme="1"/>
      <name val="Narkisim"/>
      <family val="2"/>
      <charset val="177"/>
    </font>
    <font>
      <b/>
      <sz val="11"/>
      <color theme="1"/>
      <name val="ItalicC"/>
    </font>
    <font>
      <sz val="11"/>
      <color theme="1"/>
      <name val="ItalicC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indexed="64"/>
      </bottom>
      <diagonal/>
    </border>
    <border>
      <left style="thin">
        <color theme="1"/>
      </left>
      <right style="thin">
        <color theme="0"/>
      </right>
      <top style="thin">
        <color theme="0"/>
      </top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1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5" borderId="1" xfId="0" applyFont="1" applyFill="1" applyBorder="1"/>
    <xf numFmtId="0" fontId="1" fillId="6" borderId="1" xfId="0" applyFont="1" applyFill="1" applyBorder="1"/>
    <xf numFmtId="0" fontId="7" fillId="4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4" borderId="10" xfId="0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center" vertical="center"/>
    </xf>
    <xf numFmtId="0" fontId="11" fillId="4" borderId="8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16" fillId="2" borderId="19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0" fillId="3" borderId="1" xfId="0" applyFont="1" applyFill="1" applyBorder="1" applyAlignment="1">
      <alignment horizontal="center" vertical="center" wrapText="1"/>
    </xf>
    <xf numFmtId="0" fontId="19" fillId="0" borderId="0" xfId="0" applyFont="1"/>
    <xf numFmtId="0" fontId="16" fillId="2" borderId="15" xfId="0" applyFont="1" applyFill="1" applyBorder="1" applyAlignment="1">
      <alignment horizontal="center" vertical="center"/>
    </xf>
    <xf numFmtId="0" fontId="16" fillId="2" borderId="16" xfId="0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0" fillId="0" borderId="21" xfId="0" applyBorder="1"/>
    <xf numFmtId="0" fontId="1" fillId="0" borderId="21" xfId="0" applyFont="1" applyBorder="1"/>
    <xf numFmtId="0" fontId="1" fillId="0" borderId="23" xfId="0" applyFont="1" applyBorder="1"/>
    <xf numFmtId="0" fontId="18" fillId="0" borderId="0" xfId="0" applyFont="1" applyAlignment="1">
      <alignment horizontal="center" vertical="center"/>
    </xf>
    <xf numFmtId="0" fontId="0" fillId="0" borderId="24" xfId="0" applyBorder="1"/>
    <xf numFmtId="0" fontId="1" fillId="0" borderId="25" xfId="0" applyFont="1" applyBorder="1"/>
    <xf numFmtId="0" fontId="21" fillId="0" borderId="0" xfId="0" applyFont="1" applyAlignment="1">
      <alignment horizontal="center" vertical="center"/>
    </xf>
    <xf numFmtId="0" fontId="0" fillId="0" borderId="27" xfId="0" applyBorder="1"/>
    <xf numFmtId="0" fontId="2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0" fillId="0" borderId="26" xfId="0" applyBorder="1"/>
    <xf numFmtId="0" fontId="0" fillId="0" borderId="28" xfId="0" applyBorder="1"/>
    <xf numFmtId="0" fontId="23" fillId="0" borderId="0" xfId="0" applyFont="1"/>
    <xf numFmtId="0" fontId="24" fillId="0" borderId="21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0" fillId="7" borderId="21" xfId="0" applyFill="1" applyBorder="1" applyAlignment="1">
      <alignment horizontal="center" vertical="center"/>
    </xf>
    <xf numFmtId="0" fontId="0" fillId="7" borderId="21" xfId="0" applyFill="1" applyBorder="1"/>
    <xf numFmtId="0" fontId="0" fillId="7" borderId="23" xfId="0" applyFill="1" applyBorder="1"/>
    <xf numFmtId="0" fontId="0" fillId="8" borderId="25" xfId="0" applyFill="1" applyBorder="1"/>
    <xf numFmtId="0" fontId="0" fillId="8" borderId="28" xfId="0" applyFill="1" applyBorder="1"/>
    <xf numFmtId="0" fontId="0" fillId="7" borderId="29" xfId="0" applyFill="1" applyBorder="1" applyAlignment="1">
      <alignment horizontal="center" vertical="center"/>
    </xf>
    <xf numFmtId="0" fontId="0" fillId="0" borderId="2" xfId="0" applyBorder="1"/>
    <xf numFmtId="0" fontId="0" fillId="0" borderId="30" xfId="0" applyBorder="1"/>
    <xf numFmtId="0" fontId="0" fillId="0" borderId="23" xfId="0" applyBorder="1"/>
    <xf numFmtId="0" fontId="0" fillId="0" borderId="25" xfId="0" applyBorder="1"/>
    <xf numFmtId="0" fontId="18" fillId="0" borderId="27" xfId="0" applyFont="1" applyBorder="1" applyAlignment="1">
      <alignment horizontal="center" vertical="center"/>
    </xf>
    <xf numFmtId="0" fontId="1" fillId="0" borderId="24" xfId="0" applyFont="1" applyBorder="1"/>
    <xf numFmtId="0" fontId="1" fillId="0" borderId="41" xfId="0" applyFont="1" applyBorder="1"/>
    <xf numFmtId="0" fontId="1" fillId="0" borderId="8" xfId="0" applyFont="1" applyBorder="1"/>
    <xf numFmtId="0" fontId="1" fillId="0" borderId="42" xfId="0" applyFont="1" applyBorder="1"/>
    <xf numFmtId="0" fontId="2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15" fillId="3" borderId="11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18" fillId="0" borderId="21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22" fillId="9" borderId="0" xfId="0" applyFont="1" applyFill="1" applyAlignment="1">
      <alignment horizontal="center" vertical="center"/>
    </xf>
    <xf numFmtId="0" fontId="2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2" fillId="9" borderId="0" xfId="0" applyFont="1" applyFill="1" applyAlignment="1">
      <alignment horizontal="center"/>
    </xf>
    <xf numFmtId="0" fontId="0" fillId="0" borderId="25" xfId="0" applyBorder="1" applyAlignment="1">
      <alignment horizontal="left" vertical="center"/>
    </xf>
    <xf numFmtId="0" fontId="18" fillId="0" borderId="26" xfId="0" applyFont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42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40" xfId="0" applyFont="1" applyBorder="1" applyAlignment="1">
      <alignment horizontal="center"/>
    </xf>
    <xf numFmtId="0" fontId="1" fillId="0" borderId="43" xfId="0" applyFont="1" applyBorder="1" applyAlignment="1">
      <alignment horizontal="center"/>
    </xf>
    <xf numFmtId="0" fontId="1" fillId="0" borderId="44" xfId="0" applyFont="1" applyBorder="1" applyAlignment="1">
      <alignment horizontal="center"/>
    </xf>
    <xf numFmtId="0" fontId="1" fillId="0" borderId="45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8" fillId="0" borderId="43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/>
    </xf>
    <xf numFmtId="0" fontId="1" fillId="0" borderId="24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25" xfId="0" applyFont="1" applyBorder="1" applyAlignment="1">
      <alignment horizontal="left"/>
    </xf>
    <xf numFmtId="0" fontId="1" fillId="0" borderId="43" xfId="0" applyFont="1" applyBorder="1" applyAlignment="1">
      <alignment horizontal="left"/>
    </xf>
    <xf numFmtId="0" fontId="1" fillId="0" borderId="44" xfId="0" applyFont="1" applyBorder="1" applyAlignment="1">
      <alignment horizontal="left"/>
    </xf>
    <xf numFmtId="0" fontId="1" fillId="0" borderId="28" xfId="0" applyFont="1" applyBorder="1" applyAlignment="1">
      <alignment horizontal="center"/>
    </xf>
    <xf numFmtId="0" fontId="1" fillId="0" borderId="46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38</xdr:col>
      <xdr:colOff>133350</xdr:colOff>
      <xdr:row>15</xdr:row>
      <xdr:rowOff>42862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5923D88-6ACD-B578-DFE3-01BA522A1DCF}"/>
            </a:ext>
          </a:extLst>
        </xdr:cNvPr>
        <xdr:cNvSpPr txBox="1"/>
      </xdr:nvSpPr>
      <xdr:spPr>
        <a:xfrm>
          <a:off x="8458200" y="30622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E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86843</xdr:colOff>
      <xdr:row>28</xdr:row>
      <xdr:rowOff>153166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43D699-10BD-853E-B751-06F700317E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11643" cy="54871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machiningdoctor.com/gcodes/" TargetMode="External"/><Relationship Id="rId18" Type="http://schemas.openxmlformats.org/officeDocument/2006/relationships/hyperlink" Target="https://www.machiningdoctor.com/gcodes/g54/" TargetMode="External"/><Relationship Id="rId26" Type="http://schemas.openxmlformats.org/officeDocument/2006/relationships/hyperlink" Target="https://www.machiningdoctor.com/gcodes/" TargetMode="External"/><Relationship Id="rId3" Type="http://schemas.openxmlformats.org/officeDocument/2006/relationships/hyperlink" Target="https://www.machiningdoctor.com/gcodes/g54/" TargetMode="External"/><Relationship Id="rId21" Type="http://schemas.openxmlformats.org/officeDocument/2006/relationships/hyperlink" Target="https://www.machiningdoctor.com/gcodes/" TargetMode="External"/><Relationship Id="rId34" Type="http://schemas.openxmlformats.org/officeDocument/2006/relationships/printerSettings" Target="../printerSettings/printerSettings1.bin"/><Relationship Id="rId7" Type="http://schemas.openxmlformats.org/officeDocument/2006/relationships/hyperlink" Target="https://www.machiningdoctor.com/gcodes/" TargetMode="External"/><Relationship Id="rId12" Type="http://schemas.openxmlformats.org/officeDocument/2006/relationships/hyperlink" Target="https://www.machiningdoctor.com/gcodes/" TargetMode="External"/><Relationship Id="rId17" Type="http://schemas.openxmlformats.org/officeDocument/2006/relationships/hyperlink" Target="https://www.machiningdoctor.com/glossary/turret/" TargetMode="External"/><Relationship Id="rId25" Type="http://schemas.openxmlformats.org/officeDocument/2006/relationships/hyperlink" Target="https://www.machiningdoctor.com/gcodes/" TargetMode="External"/><Relationship Id="rId33" Type="http://schemas.openxmlformats.org/officeDocument/2006/relationships/hyperlink" Target="https://www.machiningdoctor.com/gcodes/" TargetMode="External"/><Relationship Id="rId2" Type="http://schemas.openxmlformats.org/officeDocument/2006/relationships/hyperlink" Target="https://www.machiningdoctor.com/gcodes/g54/" TargetMode="External"/><Relationship Id="rId16" Type="http://schemas.openxmlformats.org/officeDocument/2006/relationships/hyperlink" Target="https://www.machiningdoctor.com/gcodes/" TargetMode="External"/><Relationship Id="rId20" Type="http://schemas.openxmlformats.org/officeDocument/2006/relationships/hyperlink" Target="https://www.machiningdoctor.com/gcodes/g54/" TargetMode="External"/><Relationship Id="rId29" Type="http://schemas.openxmlformats.org/officeDocument/2006/relationships/hyperlink" Target="https://www.machiningdoctor.com/gcodes/" TargetMode="External"/><Relationship Id="rId1" Type="http://schemas.openxmlformats.org/officeDocument/2006/relationships/hyperlink" Target="https://www.machiningdoctor.com/gcodes/g54/" TargetMode="External"/><Relationship Id="rId6" Type="http://schemas.openxmlformats.org/officeDocument/2006/relationships/hyperlink" Target="https://www.machiningdoctor.com/gcodes/" TargetMode="External"/><Relationship Id="rId11" Type="http://schemas.openxmlformats.org/officeDocument/2006/relationships/hyperlink" Target="https://www.machiningdoctor.com/gcodes/" TargetMode="External"/><Relationship Id="rId24" Type="http://schemas.openxmlformats.org/officeDocument/2006/relationships/hyperlink" Target="https://www.machiningdoctor.com/gcodes/" TargetMode="External"/><Relationship Id="rId32" Type="http://schemas.openxmlformats.org/officeDocument/2006/relationships/hyperlink" Target="https://www.machiningdoctor.com/gcodes/g54/" TargetMode="External"/><Relationship Id="rId5" Type="http://schemas.openxmlformats.org/officeDocument/2006/relationships/hyperlink" Target="https://www.machiningdoctor.com/gcodes/" TargetMode="External"/><Relationship Id="rId15" Type="http://schemas.openxmlformats.org/officeDocument/2006/relationships/hyperlink" Target="https://www.machiningdoctor.com/gcodes/g54/" TargetMode="External"/><Relationship Id="rId23" Type="http://schemas.openxmlformats.org/officeDocument/2006/relationships/hyperlink" Target="https://www.machiningdoctor.com/gcodes/" TargetMode="External"/><Relationship Id="rId28" Type="http://schemas.openxmlformats.org/officeDocument/2006/relationships/hyperlink" Target="https://www.machiningdoctor.com/gcodes/" TargetMode="External"/><Relationship Id="rId10" Type="http://schemas.openxmlformats.org/officeDocument/2006/relationships/hyperlink" Target="https://www.machiningdoctor.com/gcodes/" TargetMode="External"/><Relationship Id="rId19" Type="http://schemas.openxmlformats.org/officeDocument/2006/relationships/hyperlink" Target="https://www.machiningdoctor.com/gcodes/g54/" TargetMode="External"/><Relationship Id="rId31" Type="http://schemas.openxmlformats.org/officeDocument/2006/relationships/hyperlink" Target="https://www.machiningdoctor.com/gcodes/g54/" TargetMode="External"/><Relationship Id="rId4" Type="http://schemas.openxmlformats.org/officeDocument/2006/relationships/hyperlink" Target="https://www.machiningdoctor.com/gcodes/" TargetMode="External"/><Relationship Id="rId9" Type="http://schemas.openxmlformats.org/officeDocument/2006/relationships/hyperlink" Target="https://www.machiningdoctor.com/gcodes/" TargetMode="External"/><Relationship Id="rId14" Type="http://schemas.openxmlformats.org/officeDocument/2006/relationships/hyperlink" Target="https://www.machiningdoctor.com/gcodes/g54/" TargetMode="External"/><Relationship Id="rId22" Type="http://schemas.openxmlformats.org/officeDocument/2006/relationships/hyperlink" Target="https://www.machiningdoctor.com/gcodes/" TargetMode="External"/><Relationship Id="rId27" Type="http://schemas.openxmlformats.org/officeDocument/2006/relationships/hyperlink" Target="https://www.machiningdoctor.com/gcodes/" TargetMode="External"/><Relationship Id="rId30" Type="http://schemas.openxmlformats.org/officeDocument/2006/relationships/hyperlink" Target="https://www.machiningdoctor.com/gcodes/" TargetMode="External"/><Relationship Id="rId8" Type="http://schemas.openxmlformats.org/officeDocument/2006/relationships/hyperlink" Target="https://www.machiningdoctor.com/gcode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99E30-2550-465B-9B59-F1682310A95D}">
  <dimension ref="A1:I136"/>
  <sheetViews>
    <sheetView topLeftCell="A116" zoomScale="55" zoomScaleNormal="55" workbookViewId="0">
      <selection activeCell="L35" sqref="L35"/>
    </sheetView>
  </sheetViews>
  <sheetFormatPr defaultRowHeight="15" x14ac:dyDescent="0.25"/>
  <cols>
    <col min="1" max="1" width="9.140625" style="1"/>
    <col min="2" max="2" width="10.140625" style="1" customWidth="1"/>
    <col min="3" max="3" width="14.28515625" style="1" customWidth="1"/>
    <col min="4" max="4" width="116.7109375" style="1" customWidth="1"/>
    <col min="5" max="5" width="33.42578125" style="1" customWidth="1"/>
    <col min="6" max="6" width="172.42578125" style="1" customWidth="1"/>
    <col min="7" max="7" width="16" style="1" customWidth="1"/>
    <col min="8" max="8" width="16.42578125" style="1" customWidth="1"/>
    <col min="9" max="9" width="14.28515625" style="1" customWidth="1"/>
    <col min="10" max="16384" width="9.140625" style="1"/>
  </cols>
  <sheetData>
    <row r="1" spans="1:9" ht="26.25" x14ac:dyDescent="0.25">
      <c r="A1" s="29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1" t="s">
        <v>6</v>
      </c>
      <c r="H1" s="31" t="s">
        <v>7</v>
      </c>
      <c r="I1" s="32" t="s">
        <v>2</v>
      </c>
    </row>
    <row r="2" spans="1:9" ht="15" customHeight="1" x14ac:dyDescent="0.25">
      <c r="A2" s="65">
        <v>1</v>
      </c>
      <c r="B2" s="66" t="s">
        <v>8</v>
      </c>
      <c r="C2" s="73" t="s">
        <v>9</v>
      </c>
      <c r="D2" s="9" t="s">
        <v>10</v>
      </c>
      <c r="E2" s="10" t="s">
        <v>11</v>
      </c>
      <c r="F2" s="74" t="s">
        <v>12</v>
      </c>
      <c r="G2" s="76"/>
      <c r="H2" s="76"/>
      <c r="I2" s="73" t="s">
        <v>9</v>
      </c>
    </row>
    <row r="3" spans="1:9" ht="15" customHeight="1" x14ac:dyDescent="0.25">
      <c r="A3" s="65"/>
      <c r="B3" s="66"/>
      <c r="C3" s="73"/>
      <c r="D3" s="9" t="s">
        <v>13</v>
      </c>
      <c r="E3" s="10"/>
      <c r="F3" s="75"/>
      <c r="G3" s="76"/>
      <c r="H3" s="76"/>
      <c r="I3" s="73"/>
    </row>
    <row r="4" spans="1:9" ht="23.25" x14ac:dyDescent="0.25">
      <c r="A4" s="3">
        <v>2</v>
      </c>
      <c r="B4" s="5" t="s">
        <v>8</v>
      </c>
      <c r="C4" s="24" t="s">
        <v>14</v>
      </c>
      <c r="D4" s="9" t="s">
        <v>15</v>
      </c>
      <c r="E4" s="10" t="s">
        <v>16</v>
      </c>
      <c r="F4" s="19" t="s">
        <v>17</v>
      </c>
      <c r="G4" s="6"/>
      <c r="H4" s="6"/>
      <c r="I4" s="24" t="s">
        <v>14</v>
      </c>
    </row>
    <row r="5" spans="1:9" ht="23.25" x14ac:dyDescent="0.25">
      <c r="A5" s="3">
        <v>3</v>
      </c>
      <c r="B5" s="5" t="s">
        <v>8</v>
      </c>
      <c r="C5" s="24" t="s">
        <v>18</v>
      </c>
      <c r="D5" s="9" t="s">
        <v>19</v>
      </c>
      <c r="E5" s="10" t="s">
        <v>20</v>
      </c>
      <c r="F5" s="19" t="s">
        <v>21</v>
      </c>
      <c r="G5" s="6"/>
      <c r="H5" s="6"/>
      <c r="I5" s="24" t="s">
        <v>18</v>
      </c>
    </row>
    <row r="6" spans="1:9" ht="23.25" x14ac:dyDescent="0.25">
      <c r="A6" s="3">
        <v>4</v>
      </c>
      <c r="B6" s="5" t="s">
        <v>8</v>
      </c>
      <c r="C6" s="24" t="s">
        <v>22</v>
      </c>
      <c r="D6" s="9" t="s">
        <v>23</v>
      </c>
      <c r="E6" s="10" t="s">
        <v>24</v>
      </c>
      <c r="F6" s="19" t="s">
        <v>25</v>
      </c>
      <c r="G6" s="6"/>
      <c r="H6" s="6"/>
      <c r="I6" s="24" t="s">
        <v>22</v>
      </c>
    </row>
    <row r="7" spans="1:9" ht="23.25" x14ac:dyDescent="0.25">
      <c r="A7" s="3">
        <v>5</v>
      </c>
      <c r="B7" s="5" t="s">
        <v>8</v>
      </c>
      <c r="C7" s="24" t="s">
        <v>26</v>
      </c>
      <c r="D7" s="9" t="s">
        <v>27</v>
      </c>
      <c r="E7" s="10" t="s">
        <v>28</v>
      </c>
      <c r="F7" s="19" t="s">
        <v>29</v>
      </c>
      <c r="G7" s="6"/>
      <c r="H7" s="6"/>
      <c r="I7" s="24" t="s">
        <v>26</v>
      </c>
    </row>
    <row r="8" spans="1:9" ht="23.25" x14ac:dyDescent="0.25">
      <c r="A8" s="3">
        <v>6</v>
      </c>
      <c r="B8" s="5"/>
      <c r="C8" s="24" t="s">
        <v>30</v>
      </c>
      <c r="D8" s="9" t="s">
        <v>31</v>
      </c>
      <c r="E8" s="10"/>
      <c r="F8" s="19"/>
      <c r="G8" s="6"/>
      <c r="H8" s="6"/>
      <c r="I8" s="24" t="s">
        <v>30</v>
      </c>
    </row>
    <row r="9" spans="1:9" ht="23.25" x14ac:dyDescent="0.25">
      <c r="A9" s="3">
        <v>7</v>
      </c>
      <c r="B9" s="5"/>
      <c r="C9" s="24" t="s">
        <v>32</v>
      </c>
      <c r="D9" s="9" t="s">
        <v>33</v>
      </c>
      <c r="E9" s="10"/>
      <c r="F9" s="19"/>
      <c r="G9" s="6"/>
      <c r="H9" s="6"/>
      <c r="I9" s="24" t="s">
        <v>32</v>
      </c>
    </row>
    <row r="10" spans="1:9" ht="23.25" x14ac:dyDescent="0.25">
      <c r="A10" s="3">
        <v>8</v>
      </c>
      <c r="B10" s="5"/>
      <c r="C10" s="24" t="s">
        <v>34</v>
      </c>
      <c r="D10" s="9" t="s">
        <v>35</v>
      </c>
      <c r="E10" s="10"/>
      <c r="F10" s="19"/>
      <c r="G10" s="6"/>
      <c r="H10" s="7"/>
      <c r="I10" s="24" t="s">
        <v>34</v>
      </c>
    </row>
    <row r="11" spans="1:9" ht="23.25" x14ac:dyDescent="0.25">
      <c r="A11" s="3">
        <v>9</v>
      </c>
      <c r="B11" s="5"/>
      <c r="C11" s="24" t="s">
        <v>36</v>
      </c>
      <c r="D11" s="9" t="s">
        <v>37</v>
      </c>
      <c r="E11" s="10"/>
      <c r="F11" s="19"/>
      <c r="G11" s="6"/>
      <c r="H11" s="7"/>
      <c r="I11" s="24" t="s">
        <v>36</v>
      </c>
    </row>
    <row r="12" spans="1:9" ht="23.25" x14ac:dyDescent="0.25">
      <c r="A12" s="3">
        <v>10</v>
      </c>
      <c r="B12" s="5" t="s">
        <v>8</v>
      </c>
      <c r="C12" s="24" t="s">
        <v>38</v>
      </c>
      <c r="D12" s="9" t="s">
        <v>39</v>
      </c>
      <c r="E12" s="10" t="s">
        <v>38</v>
      </c>
      <c r="F12" s="19" t="s">
        <v>40</v>
      </c>
      <c r="G12" s="6"/>
      <c r="H12" s="7"/>
      <c r="I12" s="24" t="s">
        <v>38</v>
      </c>
    </row>
    <row r="13" spans="1:9" ht="23.25" x14ac:dyDescent="0.25">
      <c r="A13" s="3">
        <v>11</v>
      </c>
      <c r="B13" s="5" t="s">
        <v>8</v>
      </c>
      <c r="C13" s="24" t="s">
        <v>41</v>
      </c>
      <c r="D13" s="9" t="s">
        <v>42</v>
      </c>
      <c r="E13" s="10" t="s">
        <v>41</v>
      </c>
      <c r="F13" s="19" t="s">
        <v>43</v>
      </c>
      <c r="G13" s="6"/>
      <c r="H13" s="7"/>
      <c r="I13" s="24" t="s">
        <v>41</v>
      </c>
    </row>
    <row r="14" spans="1:9" ht="23.25" x14ac:dyDescent="0.25">
      <c r="A14" s="3">
        <v>12</v>
      </c>
      <c r="B14" s="5" t="s">
        <v>8</v>
      </c>
      <c r="C14" s="24" t="s">
        <v>44</v>
      </c>
      <c r="D14" s="9" t="s">
        <v>45</v>
      </c>
      <c r="E14" s="10" t="s">
        <v>44</v>
      </c>
      <c r="F14" s="19" t="s">
        <v>46</v>
      </c>
      <c r="G14" s="6"/>
      <c r="H14" s="7"/>
      <c r="I14" s="24" t="s">
        <v>44</v>
      </c>
    </row>
    <row r="15" spans="1:9" ht="23.25" x14ac:dyDescent="0.25">
      <c r="A15" s="3">
        <v>13</v>
      </c>
      <c r="B15" s="5" t="s">
        <v>8</v>
      </c>
      <c r="C15" s="24" t="s">
        <v>47</v>
      </c>
      <c r="D15" s="9" t="s">
        <v>48</v>
      </c>
      <c r="E15" s="10" t="s">
        <v>47</v>
      </c>
      <c r="F15" s="19" t="s">
        <v>49</v>
      </c>
      <c r="G15" s="6"/>
      <c r="H15" s="6"/>
      <c r="I15" s="24" t="s">
        <v>47</v>
      </c>
    </row>
    <row r="16" spans="1:9" ht="23.25" x14ac:dyDescent="0.25">
      <c r="A16" s="3">
        <v>14</v>
      </c>
      <c r="B16" s="5" t="s">
        <v>8</v>
      </c>
      <c r="C16" s="24" t="s">
        <v>50</v>
      </c>
      <c r="D16" s="9" t="s">
        <v>359</v>
      </c>
      <c r="E16" s="10" t="s">
        <v>50</v>
      </c>
      <c r="F16" s="19" t="s">
        <v>360</v>
      </c>
      <c r="G16" s="6"/>
      <c r="H16" s="6"/>
      <c r="I16" s="24" t="s">
        <v>50</v>
      </c>
    </row>
    <row r="17" spans="1:9" ht="23.25" x14ac:dyDescent="0.25">
      <c r="A17" s="3">
        <v>15</v>
      </c>
      <c r="B17" s="5"/>
      <c r="C17" s="24" t="s">
        <v>51</v>
      </c>
      <c r="D17" s="9" t="s">
        <v>52</v>
      </c>
      <c r="E17" s="10"/>
      <c r="F17" s="19"/>
      <c r="G17" s="6"/>
      <c r="H17" s="6"/>
      <c r="I17" s="24" t="s">
        <v>51</v>
      </c>
    </row>
    <row r="18" spans="1:9" ht="23.25" x14ac:dyDescent="0.25">
      <c r="A18" s="3">
        <v>16</v>
      </c>
      <c r="B18" s="5"/>
      <c r="C18" s="24" t="s">
        <v>53</v>
      </c>
      <c r="D18" s="9" t="s">
        <v>54</v>
      </c>
      <c r="E18" s="10"/>
      <c r="F18" s="19"/>
      <c r="G18" s="6"/>
      <c r="H18" s="6"/>
      <c r="I18" s="24" t="s">
        <v>53</v>
      </c>
    </row>
    <row r="19" spans="1:9" ht="23.25" x14ac:dyDescent="0.25">
      <c r="A19" s="3">
        <v>17</v>
      </c>
      <c r="B19" s="5"/>
      <c r="C19" s="24" t="s">
        <v>55</v>
      </c>
      <c r="D19" s="9" t="s">
        <v>56</v>
      </c>
      <c r="E19" s="10"/>
      <c r="F19" s="19"/>
      <c r="G19" s="6"/>
      <c r="H19" s="6"/>
      <c r="I19" s="24" t="s">
        <v>55</v>
      </c>
    </row>
    <row r="20" spans="1:9" ht="46.5" x14ac:dyDescent="0.25">
      <c r="A20" s="3">
        <v>18</v>
      </c>
      <c r="B20" s="5" t="s">
        <v>8</v>
      </c>
      <c r="C20" s="24" t="s">
        <v>57</v>
      </c>
      <c r="D20" s="9"/>
      <c r="E20" s="10" t="s">
        <v>58</v>
      </c>
      <c r="F20" s="25" t="s">
        <v>363</v>
      </c>
      <c r="G20" s="6"/>
      <c r="H20" s="6"/>
      <c r="I20" s="24" t="s">
        <v>57</v>
      </c>
    </row>
    <row r="21" spans="1:9" ht="23.25" x14ac:dyDescent="0.25">
      <c r="A21" s="3">
        <v>19</v>
      </c>
      <c r="B21" s="5"/>
      <c r="C21" s="24" t="s">
        <v>59</v>
      </c>
      <c r="D21" s="9" t="s">
        <v>60</v>
      </c>
      <c r="E21" s="10"/>
      <c r="F21" s="19"/>
      <c r="G21" s="6"/>
      <c r="H21" s="6"/>
      <c r="I21" s="24" t="s">
        <v>59</v>
      </c>
    </row>
    <row r="22" spans="1:9" ht="23.25" x14ac:dyDescent="0.25">
      <c r="A22" s="3">
        <v>20</v>
      </c>
      <c r="B22" s="5"/>
      <c r="C22" s="24" t="s">
        <v>61</v>
      </c>
      <c r="D22" s="9" t="s">
        <v>62</v>
      </c>
      <c r="E22" s="8"/>
      <c r="F22" s="19"/>
      <c r="G22" s="6"/>
      <c r="H22" s="6"/>
      <c r="I22" s="24" t="s">
        <v>61</v>
      </c>
    </row>
    <row r="23" spans="1:9" ht="23.25" x14ac:dyDescent="0.25">
      <c r="A23" s="3">
        <v>21</v>
      </c>
      <c r="B23" s="5"/>
      <c r="C23" s="24" t="s">
        <v>63</v>
      </c>
      <c r="D23" s="9" t="s">
        <v>64</v>
      </c>
      <c r="E23" s="4"/>
      <c r="F23" s="19"/>
      <c r="G23" s="6"/>
      <c r="H23" s="6"/>
      <c r="I23" s="24" t="s">
        <v>63</v>
      </c>
    </row>
    <row r="24" spans="1:9" ht="23.25" x14ac:dyDescent="0.25">
      <c r="A24" s="3">
        <v>22</v>
      </c>
      <c r="B24" s="5"/>
      <c r="C24" s="24" t="s">
        <v>65</v>
      </c>
      <c r="D24" s="9" t="s">
        <v>66</v>
      </c>
      <c r="E24" s="4"/>
      <c r="F24" s="19"/>
      <c r="G24" s="7"/>
      <c r="H24" s="6"/>
      <c r="I24" s="24" t="s">
        <v>65</v>
      </c>
    </row>
    <row r="25" spans="1:9" ht="23.25" x14ac:dyDescent="0.25">
      <c r="A25" s="3">
        <v>23</v>
      </c>
      <c r="B25" s="5"/>
      <c r="C25" s="24" t="s">
        <v>67</v>
      </c>
      <c r="D25" s="9" t="s">
        <v>68</v>
      </c>
      <c r="E25" s="4"/>
      <c r="F25" s="19"/>
      <c r="G25" s="7"/>
      <c r="H25" s="6"/>
      <c r="I25" s="24" t="s">
        <v>67</v>
      </c>
    </row>
    <row r="26" spans="1:9" ht="23.25" x14ac:dyDescent="0.25">
      <c r="A26" s="3">
        <v>24</v>
      </c>
      <c r="B26" s="5"/>
      <c r="C26" s="24" t="s">
        <v>69</v>
      </c>
      <c r="D26" s="9" t="s">
        <v>70</v>
      </c>
      <c r="E26" s="4"/>
      <c r="F26" s="19"/>
      <c r="G26" s="7"/>
      <c r="H26" s="6"/>
      <c r="I26" s="24" t="s">
        <v>69</v>
      </c>
    </row>
    <row r="27" spans="1:9" ht="46.5" x14ac:dyDescent="0.25">
      <c r="A27" s="3">
        <v>25</v>
      </c>
      <c r="B27" s="5"/>
      <c r="C27" s="24" t="s">
        <v>71</v>
      </c>
      <c r="D27" s="9" t="s">
        <v>72</v>
      </c>
      <c r="E27" s="4"/>
      <c r="F27" s="25" t="s">
        <v>361</v>
      </c>
      <c r="G27" s="6"/>
      <c r="H27" s="6"/>
      <c r="I27" s="24" t="s">
        <v>71</v>
      </c>
    </row>
    <row r="28" spans="1:9" ht="23.25" x14ac:dyDescent="0.25">
      <c r="A28" s="3">
        <v>26</v>
      </c>
      <c r="B28" s="5"/>
      <c r="C28" s="24" t="s">
        <v>73</v>
      </c>
      <c r="D28" s="9" t="s">
        <v>74</v>
      </c>
      <c r="E28" s="4"/>
      <c r="F28" s="19"/>
      <c r="G28" s="6"/>
      <c r="H28" s="6"/>
      <c r="I28" s="24" t="s">
        <v>73</v>
      </c>
    </row>
    <row r="29" spans="1:9" ht="23.25" x14ac:dyDescent="0.25">
      <c r="A29" s="3">
        <v>27</v>
      </c>
      <c r="B29" s="5"/>
      <c r="C29" s="24" t="s">
        <v>75</v>
      </c>
      <c r="D29" s="9" t="s">
        <v>76</v>
      </c>
      <c r="E29" s="4"/>
      <c r="F29" s="19"/>
      <c r="G29" s="6"/>
      <c r="H29" s="6"/>
      <c r="I29" s="24" t="s">
        <v>75</v>
      </c>
    </row>
    <row r="30" spans="1:9" ht="23.25" x14ac:dyDescent="0.25">
      <c r="A30" s="3">
        <v>28</v>
      </c>
      <c r="B30" s="5"/>
      <c r="C30" s="24" t="s">
        <v>77</v>
      </c>
      <c r="D30" s="9" t="s">
        <v>78</v>
      </c>
      <c r="E30" s="4"/>
      <c r="F30" s="19"/>
      <c r="G30" s="6"/>
      <c r="H30" s="6"/>
      <c r="I30" s="24" t="s">
        <v>77</v>
      </c>
    </row>
    <row r="31" spans="1:9" ht="23.25" x14ac:dyDescent="0.25">
      <c r="A31" s="3">
        <v>29</v>
      </c>
      <c r="B31" s="5"/>
      <c r="C31" s="24" t="s">
        <v>79</v>
      </c>
      <c r="D31" s="9" t="s">
        <v>80</v>
      </c>
      <c r="E31" s="4"/>
      <c r="F31" s="19"/>
      <c r="G31" s="6"/>
      <c r="H31" s="6"/>
      <c r="I31" s="24" t="s">
        <v>79</v>
      </c>
    </row>
    <row r="32" spans="1:9" ht="23.25" x14ac:dyDescent="0.25">
      <c r="A32" s="3">
        <v>30</v>
      </c>
      <c r="B32" s="5"/>
      <c r="C32" s="24" t="s">
        <v>81</v>
      </c>
      <c r="D32" s="9" t="s">
        <v>82</v>
      </c>
      <c r="E32" s="4"/>
      <c r="F32" s="19" t="s">
        <v>362</v>
      </c>
      <c r="G32" s="6"/>
      <c r="H32" s="6"/>
      <c r="I32" s="24" t="s">
        <v>81</v>
      </c>
    </row>
    <row r="33" spans="1:9" ht="23.25" x14ac:dyDescent="0.25">
      <c r="A33" s="3">
        <v>31</v>
      </c>
      <c r="B33" s="5"/>
      <c r="C33" s="24" t="s">
        <v>83</v>
      </c>
      <c r="D33" s="9" t="s">
        <v>84</v>
      </c>
      <c r="E33" s="4"/>
      <c r="F33" s="19"/>
      <c r="G33" s="6"/>
      <c r="H33" s="6"/>
      <c r="I33" s="24" t="s">
        <v>83</v>
      </c>
    </row>
    <row r="34" spans="1:9" ht="23.25" x14ac:dyDescent="0.25">
      <c r="A34" s="3">
        <v>32</v>
      </c>
      <c r="B34" s="5"/>
      <c r="C34" s="24" t="s">
        <v>85</v>
      </c>
      <c r="D34" s="9" t="s">
        <v>86</v>
      </c>
      <c r="E34" s="4"/>
      <c r="F34" s="19"/>
      <c r="G34" s="6"/>
      <c r="H34" s="6"/>
      <c r="I34" s="24" t="s">
        <v>85</v>
      </c>
    </row>
    <row r="35" spans="1:9" ht="23.25" x14ac:dyDescent="0.25">
      <c r="A35" s="3">
        <v>33</v>
      </c>
      <c r="B35" s="5"/>
      <c r="C35" s="24" t="s">
        <v>87</v>
      </c>
      <c r="D35" s="9" t="s">
        <v>88</v>
      </c>
      <c r="E35" s="4"/>
      <c r="F35" s="19" t="s">
        <v>367</v>
      </c>
      <c r="G35" s="6"/>
      <c r="H35" s="6"/>
      <c r="I35" s="24" t="s">
        <v>87</v>
      </c>
    </row>
    <row r="36" spans="1:9" ht="23.25" x14ac:dyDescent="0.25">
      <c r="A36" s="3">
        <v>34</v>
      </c>
      <c r="B36" s="5"/>
      <c r="C36" s="24" t="s">
        <v>89</v>
      </c>
      <c r="D36" s="9" t="s">
        <v>90</v>
      </c>
      <c r="E36" s="4"/>
      <c r="F36" s="19"/>
      <c r="G36" s="6"/>
      <c r="H36" s="6"/>
      <c r="I36" s="24" t="s">
        <v>89</v>
      </c>
    </row>
    <row r="37" spans="1:9" ht="23.25" x14ac:dyDescent="0.25">
      <c r="A37" s="3">
        <v>35</v>
      </c>
      <c r="B37" s="5"/>
      <c r="C37" s="24" t="s">
        <v>91</v>
      </c>
      <c r="D37" s="9" t="s">
        <v>92</v>
      </c>
      <c r="E37" s="4"/>
      <c r="F37" s="19"/>
      <c r="G37" s="6"/>
      <c r="H37" s="6"/>
      <c r="I37" s="24" t="s">
        <v>91</v>
      </c>
    </row>
    <row r="38" spans="1:9" ht="23.25" x14ac:dyDescent="0.25">
      <c r="A38" s="3">
        <v>36</v>
      </c>
      <c r="B38" s="5"/>
      <c r="C38" s="24" t="s">
        <v>93</v>
      </c>
      <c r="D38" s="9" t="s">
        <v>94</v>
      </c>
      <c r="E38" s="4"/>
      <c r="F38" s="19"/>
      <c r="G38" s="6"/>
      <c r="H38" s="6"/>
      <c r="I38" s="24" t="s">
        <v>93</v>
      </c>
    </row>
    <row r="39" spans="1:9" ht="23.25" x14ac:dyDescent="0.25">
      <c r="A39" s="3">
        <v>37</v>
      </c>
      <c r="B39" s="5"/>
      <c r="C39" s="24" t="s">
        <v>95</v>
      </c>
      <c r="D39" s="9" t="s">
        <v>96</v>
      </c>
      <c r="E39" s="4"/>
      <c r="F39" s="19"/>
      <c r="G39" s="6"/>
      <c r="H39" s="6"/>
      <c r="I39" s="24" t="s">
        <v>95</v>
      </c>
    </row>
    <row r="40" spans="1:9" ht="23.25" x14ac:dyDescent="0.25">
      <c r="A40" s="3">
        <v>38</v>
      </c>
      <c r="B40" s="5"/>
      <c r="C40" s="24" t="s">
        <v>97</v>
      </c>
      <c r="D40" s="9" t="s">
        <v>98</v>
      </c>
      <c r="E40" s="4"/>
      <c r="F40" s="19"/>
      <c r="G40" s="6"/>
      <c r="H40" s="6"/>
      <c r="I40" s="24" t="s">
        <v>97</v>
      </c>
    </row>
    <row r="41" spans="1:9" ht="23.25" x14ac:dyDescent="0.25">
      <c r="A41" s="3">
        <v>39</v>
      </c>
      <c r="B41" s="5"/>
      <c r="C41" s="24" t="s">
        <v>99</v>
      </c>
      <c r="D41" s="9" t="s">
        <v>100</v>
      </c>
      <c r="E41" s="4"/>
      <c r="F41" s="19"/>
      <c r="G41" s="6"/>
      <c r="H41" s="6"/>
      <c r="I41" s="24" t="s">
        <v>99</v>
      </c>
    </row>
    <row r="42" spans="1:9" ht="23.25" x14ac:dyDescent="0.25">
      <c r="A42" s="3">
        <v>40</v>
      </c>
      <c r="B42" s="5"/>
      <c r="C42" s="24" t="s">
        <v>101</v>
      </c>
      <c r="D42" s="9" t="s">
        <v>102</v>
      </c>
      <c r="E42" s="4"/>
      <c r="F42" s="19"/>
      <c r="G42" s="6"/>
      <c r="H42" s="6"/>
      <c r="I42" s="24" t="s">
        <v>101</v>
      </c>
    </row>
    <row r="43" spans="1:9" ht="23.25" x14ac:dyDescent="0.25">
      <c r="A43" s="3">
        <v>41</v>
      </c>
      <c r="B43" s="5"/>
      <c r="C43" s="24" t="s">
        <v>103</v>
      </c>
      <c r="D43" s="9" t="s">
        <v>104</v>
      </c>
      <c r="E43" s="4"/>
      <c r="F43" s="19"/>
      <c r="G43" s="6"/>
      <c r="H43" s="6"/>
      <c r="I43" s="24" t="s">
        <v>103</v>
      </c>
    </row>
    <row r="44" spans="1:9" ht="23.25" x14ac:dyDescent="0.25">
      <c r="A44" s="3">
        <v>42</v>
      </c>
      <c r="B44" s="5"/>
      <c r="C44" s="24" t="s">
        <v>105</v>
      </c>
      <c r="D44" s="9" t="s">
        <v>106</v>
      </c>
      <c r="E44" s="4"/>
      <c r="F44" s="19"/>
      <c r="G44" s="6"/>
      <c r="H44" s="6"/>
      <c r="I44" s="24" t="s">
        <v>105</v>
      </c>
    </row>
    <row r="45" spans="1:9" ht="23.25" x14ac:dyDescent="0.25">
      <c r="A45" s="3">
        <v>43</v>
      </c>
      <c r="B45" s="5"/>
      <c r="C45" s="24" t="s">
        <v>107</v>
      </c>
      <c r="D45" s="9" t="s">
        <v>108</v>
      </c>
      <c r="E45" s="4"/>
      <c r="F45" s="19"/>
      <c r="G45" s="6"/>
      <c r="H45" s="6"/>
      <c r="I45" s="24" t="s">
        <v>107</v>
      </c>
    </row>
    <row r="46" spans="1:9" ht="23.25" x14ac:dyDescent="0.25">
      <c r="A46" s="3">
        <v>44</v>
      </c>
      <c r="B46" s="5"/>
      <c r="C46" s="24" t="s">
        <v>109</v>
      </c>
      <c r="D46" s="9" t="s">
        <v>110</v>
      </c>
      <c r="E46" s="4"/>
      <c r="F46" s="19"/>
      <c r="G46" s="6"/>
      <c r="H46" s="6"/>
      <c r="I46" s="24" t="s">
        <v>109</v>
      </c>
    </row>
    <row r="47" spans="1:9" ht="23.25" x14ac:dyDescent="0.25">
      <c r="A47" s="3">
        <v>45</v>
      </c>
      <c r="B47" s="5"/>
      <c r="C47" s="24" t="s">
        <v>111</v>
      </c>
      <c r="D47" s="9" t="s">
        <v>112</v>
      </c>
      <c r="E47" s="4"/>
      <c r="F47" s="19"/>
      <c r="G47" s="6"/>
      <c r="H47" s="7"/>
      <c r="I47" s="24" t="s">
        <v>111</v>
      </c>
    </row>
    <row r="48" spans="1:9" ht="23.25" x14ac:dyDescent="0.25">
      <c r="A48" s="3">
        <v>46</v>
      </c>
      <c r="B48" s="5"/>
      <c r="C48" s="24" t="s">
        <v>113</v>
      </c>
      <c r="D48" s="9" t="s">
        <v>114</v>
      </c>
      <c r="E48" s="4"/>
      <c r="F48" s="19"/>
      <c r="G48" s="6"/>
      <c r="H48" s="7"/>
      <c r="I48" s="24" t="s">
        <v>113</v>
      </c>
    </row>
    <row r="49" spans="1:9" ht="23.25" x14ac:dyDescent="0.25">
      <c r="A49" s="3">
        <v>47</v>
      </c>
      <c r="B49" s="5"/>
      <c r="C49" s="24" t="s">
        <v>115</v>
      </c>
      <c r="D49" s="9" t="s">
        <v>116</v>
      </c>
      <c r="E49" s="4"/>
      <c r="F49" s="19"/>
      <c r="G49" s="7"/>
      <c r="H49" s="6"/>
      <c r="I49" s="24" t="s">
        <v>115</v>
      </c>
    </row>
    <row r="50" spans="1:9" ht="23.25" x14ac:dyDescent="0.25">
      <c r="A50" s="3">
        <v>48</v>
      </c>
      <c r="B50" s="5"/>
      <c r="C50" s="24" t="s">
        <v>117</v>
      </c>
      <c r="D50" s="9" t="s">
        <v>118</v>
      </c>
      <c r="E50" s="4"/>
      <c r="F50" s="19"/>
      <c r="G50" s="7"/>
      <c r="H50" s="6"/>
      <c r="I50" s="24" t="s">
        <v>117</v>
      </c>
    </row>
    <row r="51" spans="1:9" ht="23.25" x14ac:dyDescent="0.25">
      <c r="A51" s="3">
        <v>49</v>
      </c>
      <c r="B51" s="5"/>
      <c r="C51" s="24" t="s">
        <v>117</v>
      </c>
      <c r="D51" s="9" t="s">
        <v>119</v>
      </c>
      <c r="E51" s="4"/>
      <c r="F51" s="19"/>
      <c r="G51" s="7"/>
      <c r="H51" s="6"/>
      <c r="I51" s="24" t="s">
        <v>117</v>
      </c>
    </row>
    <row r="52" spans="1:9" ht="23.25" x14ac:dyDescent="0.25">
      <c r="A52" s="3">
        <v>50</v>
      </c>
      <c r="B52" s="5"/>
      <c r="C52" s="24" t="s">
        <v>120</v>
      </c>
      <c r="D52" s="9" t="s">
        <v>121</v>
      </c>
      <c r="E52" s="4"/>
      <c r="F52" s="19"/>
      <c r="G52" s="7"/>
      <c r="H52" s="6"/>
      <c r="I52" s="24" t="s">
        <v>120</v>
      </c>
    </row>
    <row r="53" spans="1:9" ht="23.25" x14ac:dyDescent="0.25">
      <c r="A53" s="3">
        <v>51</v>
      </c>
      <c r="B53" s="5"/>
      <c r="C53" s="24" t="s">
        <v>122</v>
      </c>
      <c r="D53" s="9" t="s">
        <v>123</v>
      </c>
      <c r="E53" s="4"/>
      <c r="F53" s="19"/>
      <c r="G53" s="6"/>
      <c r="H53" s="6"/>
      <c r="I53" s="24" t="s">
        <v>122</v>
      </c>
    </row>
    <row r="54" spans="1:9" ht="23.25" x14ac:dyDescent="0.25">
      <c r="A54" s="3">
        <v>52</v>
      </c>
      <c r="B54" s="5"/>
      <c r="C54" s="24" t="s">
        <v>124</v>
      </c>
      <c r="D54" s="9" t="s">
        <v>125</v>
      </c>
      <c r="E54" s="4"/>
      <c r="F54" s="19"/>
      <c r="G54" s="6"/>
      <c r="H54" s="7"/>
      <c r="I54" s="24" t="s">
        <v>124</v>
      </c>
    </row>
    <row r="55" spans="1:9" ht="23.25" x14ac:dyDescent="0.25">
      <c r="A55" s="3">
        <v>53</v>
      </c>
      <c r="B55" s="5"/>
      <c r="C55" s="24" t="s">
        <v>124</v>
      </c>
      <c r="D55" s="9" t="s">
        <v>126</v>
      </c>
      <c r="E55" s="4"/>
      <c r="F55" s="19"/>
      <c r="G55" s="7"/>
      <c r="H55" s="6"/>
      <c r="I55" s="24" t="s">
        <v>124</v>
      </c>
    </row>
    <row r="56" spans="1:9" ht="23.25" x14ac:dyDescent="0.25">
      <c r="A56" s="3">
        <v>54</v>
      </c>
      <c r="B56" s="5"/>
      <c r="C56" s="24" t="s">
        <v>127</v>
      </c>
      <c r="D56" s="9" t="s">
        <v>128</v>
      </c>
      <c r="E56" s="4"/>
      <c r="F56" s="19"/>
      <c r="G56" s="7"/>
      <c r="H56" s="6"/>
      <c r="I56" s="24" t="s">
        <v>127</v>
      </c>
    </row>
    <row r="57" spans="1:9" ht="23.25" x14ac:dyDescent="0.25">
      <c r="A57" s="3">
        <v>55</v>
      </c>
      <c r="B57" s="5"/>
      <c r="C57" s="24" t="s">
        <v>129</v>
      </c>
      <c r="D57" s="9" t="s">
        <v>130</v>
      </c>
      <c r="E57" s="4"/>
      <c r="F57" s="19"/>
      <c r="G57" s="7"/>
      <c r="H57" s="6"/>
      <c r="I57" s="24" t="s">
        <v>129</v>
      </c>
    </row>
    <row r="58" spans="1:9" ht="23.25" x14ac:dyDescent="0.25">
      <c r="A58" s="3">
        <v>56</v>
      </c>
      <c r="B58" s="5"/>
      <c r="C58" s="24" t="s">
        <v>129</v>
      </c>
      <c r="D58" s="9" t="s">
        <v>131</v>
      </c>
      <c r="E58" s="4"/>
      <c r="F58" s="19"/>
      <c r="G58" s="6"/>
      <c r="H58" s="7"/>
      <c r="I58" s="24" t="s">
        <v>129</v>
      </c>
    </row>
    <row r="59" spans="1:9" ht="23.25" x14ac:dyDescent="0.25">
      <c r="A59" s="3">
        <v>57</v>
      </c>
      <c r="B59" s="5"/>
      <c r="C59" s="24" t="s">
        <v>132</v>
      </c>
      <c r="D59" s="9" t="s">
        <v>133</v>
      </c>
      <c r="E59" s="4"/>
      <c r="F59" s="19"/>
      <c r="G59" s="6"/>
      <c r="H59" s="6"/>
      <c r="I59" s="24" t="s">
        <v>132</v>
      </c>
    </row>
    <row r="60" spans="1:9" ht="23.25" x14ac:dyDescent="0.25">
      <c r="A60" s="3">
        <v>58</v>
      </c>
      <c r="B60" s="5"/>
      <c r="C60" s="24" t="s">
        <v>134</v>
      </c>
      <c r="D60" s="9" t="s">
        <v>135</v>
      </c>
      <c r="E60" s="4"/>
      <c r="F60" s="19"/>
      <c r="G60" s="6"/>
      <c r="H60" s="7"/>
      <c r="I60" s="24" t="s">
        <v>134</v>
      </c>
    </row>
    <row r="61" spans="1:9" ht="23.25" x14ac:dyDescent="0.25">
      <c r="A61" s="3">
        <v>59</v>
      </c>
      <c r="B61" s="5"/>
      <c r="C61" s="24" t="s">
        <v>136</v>
      </c>
      <c r="D61" s="9" t="s">
        <v>137</v>
      </c>
      <c r="E61" s="4"/>
      <c r="F61" s="19"/>
      <c r="G61" s="6"/>
      <c r="H61" s="7"/>
      <c r="I61" s="24" t="s">
        <v>136</v>
      </c>
    </row>
    <row r="62" spans="1:9" ht="23.25" x14ac:dyDescent="0.25">
      <c r="A62" s="3">
        <v>60</v>
      </c>
      <c r="B62" s="5"/>
      <c r="C62" s="24" t="s">
        <v>138</v>
      </c>
      <c r="D62" s="9" t="s">
        <v>139</v>
      </c>
      <c r="E62" s="4"/>
      <c r="F62" s="19"/>
      <c r="G62" s="6"/>
      <c r="H62" s="7"/>
      <c r="I62" s="24" t="s">
        <v>138</v>
      </c>
    </row>
    <row r="63" spans="1:9" ht="23.25" x14ac:dyDescent="0.25">
      <c r="A63" s="3">
        <v>61</v>
      </c>
      <c r="B63" s="5"/>
      <c r="C63" s="24" t="s">
        <v>140</v>
      </c>
      <c r="D63" s="9" t="s">
        <v>141</v>
      </c>
      <c r="E63" s="4"/>
      <c r="F63" s="19"/>
      <c r="G63" s="6"/>
      <c r="H63" s="7"/>
      <c r="I63" s="24" t="s">
        <v>140</v>
      </c>
    </row>
    <row r="64" spans="1:9" ht="23.25" x14ac:dyDescent="0.25">
      <c r="A64" s="3">
        <v>62</v>
      </c>
      <c r="B64" s="5"/>
      <c r="C64" s="24" t="s">
        <v>142</v>
      </c>
      <c r="D64" s="9" t="s">
        <v>143</v>
      </c>
      <c r="E64" s="4"/>
      <c r="F64" s="19"/>
      <c r="G64" s="6"/>
      <c r="H64" s="7"/>
      <c r="I64" s="24" t="s">
        <v>142</v>
      </c>
    </row>
    <row r="65" spans="1:9" ht="23.25" x14ac:dyDescent="0.25">
      <c r="A65" s="3">
        <v>63</v>
      </c>
      <c r="B65" s="5"/>
      <c r="C65" s="24" t="s">
        <v>144</v>
      </c>
      <c r="D65" s="9" t="s">
        <v>145</v>
      </c>
      <c r="E65" s="4"/>
      <c r="F65" s="19"/>
      <c r="G65" s="6"/>
      <c r="H65" s="7"/>
      <c r="I65" s="24" t="s">
        <v>144</v>
      </c>
    </row>
    <row r="66" spans="1:9" ht="23.25" x14ac:dyDescent="0.25">
      <c r="A66" s="3">
        <v>64</v>
      </c>
      <c r="B66" s="5"/>
      <c r="C66" s="24" t="s">
        <v>146</v>
      </c>
      <c r="D66" s="9" t="s">
        <v>147</v>
      </c>
      <c r="E66" s="4"/>
      <c r="F66" s="19"/>
      <c r="G66" s="6"/>
      <c r="H66" s="7"/>
      <c r="I66" s="24" t="s">
        <v>146</v>
      </c>
    </row>
    <row r="67" spans="1:9" ht="23.25" x14ac:dyDescent="0.25">
      <c r="A67" s="3">
        <v>65</v>
      </c>
      <c r="B67" s="5"/>
      <c r="C67" s="24" t="s">
        <v>148</v>
      </c>
      <c r="D67" s="9" t="s">
        <v>149</v>
      </c>
      <c r="E67" s="4"/>
      <c r="F67" s="19"/>
      <c r="G67" s="6"/>
      <c r="H67" s="7"/>
      <c r="I67" s="24" t="s">
        <v>148</v>
      </c>
    </row>
    <row r="68" spans="1:9" ht="23.25" x14ac:dyDescent="0.25">
      <c r="A68" s="3">
        <v>66</v>
      </c>
      <c r="B68" s="5"/>
      <c r="C68" s="24" t="s">
        <v>150</v>
      </c>
      <c r="D68" s="9" t="s">
        <v>151</v>
      </c>
      <c r="E68" s="4"/>
      <c r="F68" s="19"/>
      <c r="G68" s="6"/>
      <c r="H68" s="7"/>
      <c r="I68" s="24" t="s">
        <v>150</v>
      </c>
    </row>
    <row r="69" spans="1:9" ht="116.25" x14ac:dyDescent="0.25">
      <c r="A69" s="3">
        <v>67</v>
      </c>
      <c r="B69" s="5" t="s">
        <v>8</v>
      </c>
      <c r="C69" s="24" t="s">
        <v>152</v>
      </c>
      <c r="D69" s="9" t="s">
        <v>153</v>
      </c>
      <c r="E69" s="4"/>
      <c r="F69" s="25" t="s">
        <v>366</v>
      </c>
      <c r="G69" s="6"/>
      <c r="H69" s="6"/>
      <c r="I69" s="24" t="s">
        <v>152</v>
      </c>
    </row>
    <row r="70" spans="1:9" ht="23.25" x14ac:dyDescent="0.25">
      <c r="A70" s="3">
        <v>68</v>
      </c>
      <c r="B70" s="5" t="s">
        <v>8</v>
      </c>
      <c r="C70" s="24" t="s">
        <v>154</v>
      </c>
      <c r="D70" s="9" t="s">
        <v>155</v>
      </c>
      <c r="E70" s="4"/>
      <c r="F70" s="19" t="s">
        <v>365</v>
      </c>
      <c r="G70" s="6" t="s">
        <v>364</v>
      </c>
      <c r="H70" s="6"/>
      <c r="I70" s="24" t="s">
        <v>154</v>
      </c>
    </row>
    <row r="71" spans="1:9" ht="23.25" x14ac:dyDescent="0.25">
      <c r="A71" s="3">
        <v>69</v>
      </c>
      <c r="B71" s="5"/>
      <c r="C71" s="24" t="s">
        <v>156</v>
      </c>
      <c r="D71" s="9" t="s">
        <v>157</v>
      </c>
      <c r="E71" s="4"/>
      <c r="F71" s="19" t="s">
        <v>358</v>
      </c>
      <c r="G71" s="6"/>
      <c r="H71" s="6"/>
      <c r="I71" s="24" t="s">
        <v>156</v>
      </c>
    </row>
    <row r="72" spans="1:9" ht="23.25" x14ac:dyDescent="0.25">
      <c r="A72" s="3">
        <v>70</v>
      </c>
      <c r="B72" s="5"/>
      <c r="C72" s="24" t="s">
        <v>158</v>
      </c>
      <c r="D72" s="9" t="s">
        <v>159</v>
      </c>
      <c r="E72" s="4"/>
      <c r="F72" s="19"/>
      <c r="G72" s="6"/>
      <c r="H72" s="7"/>
      <c r="I72" s="24" t="s">
        <v>158</v>
      </c>
    </row>
    <row r="73" spans="1:9" ht="23.25" x14ac:dyDescent="0.25">
      <c r="A73" s="3">
        <v>71</v>
      </c>
      <c r="B73" s="5"/>
      <c r="C73" s="24" t="s">
        <v>160</v>
      </c>
      <c r="D73" s="9" t="s">
        <v>161</v>
      </c>
      <c r="E73" s="4"/>
      <c r="F73" s="19"/>
      <c r="G73" s="6"/>
      <c r="H73" s="7"/>
      <c r="I73" s="24" t="s">
        <v>160</v>
      </c>
    </row>
    <row r="74" spans="1:9" ht="23.25" x14ac:dyDescent="0.25">
      <c r="A74" s="3">
        <v>72</v>
      </c>
      <c r="B74" s="5"/>
      <c r="C74" s="24" t="s">
        <v>162</v>
      </c>
      <c r="D74" s="9" t="s">
        <v>163</v>
      </c>
      <c r="E74" s="4"/>
      <c r="F74" s="19"/>
      <c r="G74" s="6"/>
      <c r="H74" s="6"/>
      <c r="I74" s="24" t="s">
        <v>162</v>
      </c>
    </row>
    <row r="75" spans="1:9" ht="23.25" x14ac:dyDescent="0.25">
      <c r="A75" s="3">
        <v>73</v>
      </c>
      <c r="B75" s="5"/>
      <c r="C75" s="24" t="s">
        <v>164</v>
      </c>
      <c r="D75" s="9" t="s">
        <v>165</v>
      </c>
      <c r="E75" s="4"/>
      <c r="F75" s="19"/>
      <c r="G75" s="6"/>
      <c r="H75" s="6"/>
      <c r="I75" s="24" t="s">
        <v>164</v>
      </c>
    </row>
    <row r="76" spans="1:9" ht="23.25" x14ac:dyDescent="0.25">
      <c r="A76" s="3">
        <v>74</v>
      </c>
      <c r="B76" s="5"/>
      <c r="C76" s="24" t="s">
        <v>166</v>
      </c>
      <c r="D76" s="9" t="s">
        <v>167</v>
      </c>
      <c r="E76" s="4"/>
      <c r="F76" s="19"/>
      <c r="G76" s="6"/>
      <c r="H76" s="6"/>
      <c r="I76" s="24" t="s">
        <v>166</v>
      </c>
    </row>
    <row r="77" spans="1:9" ht="23.25" x14ac:dyDescent="0.25">
      <c r="A77" s="3">
        <v>75</v>
      </c>
      <c r="B77" s="5"/>
      <c r="C77" s="24" t="s">
        <v>168</v>
      </c>
      <c r="D77" s="9" t="s">
        <v>169</v>
      </c>
      <c r="E77" s="4"/>
      <c r="F77" s="19"/>
      <c r="G77" s="6"/>
      <c r="H77" s="7"/>
      <c r="I77" s="24" t="s">
        <v>168</v>
      </c>
    </row>
    <row r="78" spans="1:9" ht="23.25" x14ac:dyDescent="0.25">
      <c r="A78" s="3">
        <v>76</v>
      </c>
      <c r="B78" s="5"/>
      <c r="C78" s="24" t="s">
        <v>170</v>
      </c>
      <c r="D78" s="9" t="s">
        <v>171</v>
      </c>
      <c r="E78" s="4"/>
      <c r="F78" s="19"/>
      <c r="G78" s="6"/>
      <c r="H78" s="7"/>
      <c r="I78" s="24" t="s">
        <v>170</v>
      </c>
    </row>
    <row r="79" spans="1:9" ht="15.75" customHeight="1" x14ac:dyDescent="0.25">
      <c r="A79" s="3">
        <v>77</v>
      </c>
      <c r="B79" s="67" t="s">
        <v>172</v>
      </c>
      <c r="C79" s="68"/>
      <c r="D79" s="68"/>
      <c r="E79" s="68"/>
      <c r="F79" s="69"/>
    </row>
    <row r="80" spans="1:9" ht="15.75" x14ac:dyDescent="0.25">
      <c r="A80" s="3">
        <v>78</v>
      </c>
      <c r="B80" s="77"/>
      <c r="C80" s="78"/>
      <c r="D80" s="71"/>
      <c r="E80" s="71"/>
      <c r="F80" s="72"/>
    </row>
    <row r="81" spans="1:6" ht="35.25" x14ac:dyDescent="0.25">
      <c r="A81" s="3">
        <v>79</v>
      </c>
      <c r="E81" s="17" t="s">
        <v>173</v>
      </c>
      <c r="F81" s="18" t="s">
        <v>174</v>
      </c>
    </row>
    <row r="82" spans="1:6" ht="26.25" x14ac:dyDescent="0.25">
      <c r="A82" s="3">
        <v>80</v>
      </c>
      <c r="E82" s="12" t="s">
        <v>175</v>
      </c>
      <c r="F82" s="11" t="s">
        <v>176</v>
      </c>
    </row>
    <row r="83" spans="1:6" ht="26.25" x14ac:dyDescent="0.25">
      <c r="A83" s="3">
        <v>81</v>
      </c>
      <c r="E83" s="11" t="s">
        <v>177</v>
      </c>
      <c r="F83" s="11" t="s">
        <v>178</v>
      </c>
    </row>
    <row r="84" spans="1:6" ht="26.25" x14ac:dyDescent="0.25">
      <c r="A84" s="3">
        <v>82</v>
      </c>
      <c r="E84" s="11" t="s">
        <v>179</v>
      </c>
      <c r="F84" s="11" t="s">
        <v>180</v>
      </c>
    </row>
    <row r="85" spans="1:6" ht="26.25" x14ac:dyDescent="0.25">
      <c r="A85" s="3">
        <v>83</v>
      </c>
      <c r="E85" s="11" t="s">
        <v>181</v>
      </c>
      <c r="F85" s="11" t="s">
        <v>182</v>
      </c>
    </row>
    <row r="86" spans="1:6" ht="26.25" x14ac:dyDescent="0.25">
      <c r="A86" s="3">
        <v>84</v>
      </c>
      <c r="E86" s="11" t="s">
        <v>183</v>
      </c>
      <c r="F86" s="11" t="s">
        <v>184</v>
      </c>
    </row>
    <row r="87" spans="1:6" ht="26.25" x14ac:dyDescent="0.25">
      <c r="A87" s="3">
        <v>85</v>
      </c>
      <c r="E87" s="13" t="s">
        <v>185</v>
      </c>
      <c r="F87" s="11" t="s">
        <v>186</v>
      </c>
    </row>
    <row r="88" spans="1:6" ht="26.25" x14ac:dyDescent="0.25">
      <c r="A88" s="3">
        <v>86</v>
      </c>
      <c r="E88" s="14" t="s">
        <v>187</v>
      </c>
      <c r="F88" s="11" t="s">
        <v>188</v>
      </c>
    </row>
    <row r="89" spans="1:6" ht="26.25" x14ac:dyDescent="0.25">
      <c r="A89" s="3">
        <v>87</v>
      </c>
      <c r="E89" s="11" t="s">
        <v>189</v>
      </c>
      <c r="F89" s="11" t="s">
        <v>190</v>
      </c>
    </row>
    <row r="90" spans="1:6" ht="26.25" x14ac:dyDescent="0.25">
      <c r="A90" s="3">
        <v>88</v>
      </c>
      <c r="E90" s="11" t="s">
        <v>191</v>
      </c>
      <c r="F90" s="11" t="s">
        <v>192</v>
      </c>
    </row>
    <row r="91" spans="1:6" ht="15.75" x14ac:dyDescent="0.25">
      <c r="A91" s="3">
        <v>89</v>
      </c>
      <c r="B91" s="67" t="s">
        <v>193</v>
      </c>
      <c r="C91" s="68"/>
      <c r="D91" s="68"/>
      <c r="E91" s="68"/>
      <c r="F91" s="69"/>
    </row>
    <row r="92" spans="1:6" ht="15.75" x14ac:dyDescent="0.25">
      <c r="A92" s="3">
        <v>90</v>
      </c>
      <c r="B92" s="70"/>
      <c r="C92" s="71"/>
      <c r="D92" s="71"/>
      <c r="E92" s="71"/>
      <c r="F92" s="72"/>
    </row>
    <row r="93" spans="1:6" ht="33.75" x14ac:dyDescent="0.25">
      <c r="A93" s="3">
        <v>91</v>
      </c>
      <c r="E93" s="15" t="s">
        <v>194</v>
      </c>
      <c r="F93" s="16" t="s">
        <v>195</v>
      </c>
    </row>
    <row r="94" spans="1:6" ht="26.25" x14ac:dyDescent="0.25">
      <c r="A94" s="3">
        <v>92</v>
      </c>
      <c r="E94" s="11" t="s">
        <v>196</v>
      </c>
      <c r="F94" s="27" t="s">
        <v>197</v>
      </c>
    </row>
    <row r="95" spans="1:6" ht="40.5" x14ac:dyDescent="0.25">
      <c r="A95" s="3">
        <v>93</v>
      </c>
      <c r="E95" s="11" t="s">
        <v>198</v>
      </c>
      <c r="F95" s="27" t="s">
        <v>199</v>
      </c>
    </row>
    <row r="96" spans="1:6" ht="26.25" x14ac:dyDescent="0.25">
      <c r="A96" s="3">
        <v>94</v>
      </c>
      <c r="E96" s="11" t="s">
        <v>200</v>
      </c>
      <c r="F96" s="27" t="s">
        <v>201</v>
      </c>
    </row>
    <row r="97" spans="1:7" ht="40.5" x14ac:dyDescent="0.25">
      <c r="A97" s="3">
        <v>95</v>
      </c>
      <c r="E97" s="11" t="s">
        <v>202</v>
      </c>
      <c r="F97" s="27" t="s">
        <v>203</v>
      </c>
    </row>
    <row r="98" spans="1:7" ht="26.25" x14ac:dyDescent="0.25">
      <c r="A98" s="3">
        <v>96</v>
      </c>
      <c r="E98" s="11" t="s">
        <v>204</v>
      </c>
      <c r="F98" s="27" t="s">
        <v>205</v>
      </c>
    </row>
    <row r="99" spans="1:7" ht="26.25" x14ac:dyDescent="0.25">
      <c r="A99" s="3">
        <v>97</v>
      </c>
      <c r="E99" s="11" t="s">
        <v>206</v>
      </c>
      <c r="F99" s="27" t="s">
        <v>207</v>
      </c>
    </row>
    <row r="100" spans="1:7" ht="26.25" x14ac:dyDescent="0.25">
      <c r="A100" s="3">
        <v>98</v>
      </c>
      <c r="E100" s="11" t="s">
        <v>208</v>
      </c>
      <c r="F100" s="27" t="s">
        <v>209</v>
      </c>
    </row>
    <row r="101" spans="1:7" ht="26.25" x14ac:dyDescent="0.25">
      <c r="A101" s="3">
        <v>99</v>
      </c>
      <c r="E101" s="11" t="s">
        <v>210</v>
      </c>
      <c r="F101" s="27" t="s">
        <v>211</v>
      </c>
    </row>
    <row r="102" spans="1:7" ht="26.25" x14ac:dyDescent="0.25">
      <c r="A102" s="3">
        <v>100</v>
      </c>
      <c r="E102" s="11" t="s">
        <v>212</v>
      </c>
      <c r="F102" s="27" t="s">
        <v>213</v>
      </c>
    </row>
    <row r="103" spans="1:7" ht="26.25" x14ac:dyDescent="0.25">
      <c r="A103" s="3">
        <v>101</v>
      </c>
      <c r="E103" s="11" t="s">
        <v>214</v>
      </c>
      <c r="F103" s="27" t="s">
        <v>215</v>
      </c>
      <c r="G103" s="26"/>
    </row>
    <row r="104" spans="1:7" ht="26.25" x14ac:dyDescent="0.25">
      <c r="A104" s="3">
        <v>102</v>
      </c>
      <c r="E104" s="11" t="s">
        <v>216</v>
      </c>
      <c r="F104" s="27" t="s">
        <v>217</v>
      </c>
    </row>
    <row r="105" spans="1:7" ht="26.25" x14ac:dyDescent="0.25">
      <c r="A105" s="3">
        <v>103</v>
      </c>
      <c r="E105" s="11" t="s">
        <v>218</v>
      </c>
      <c r="F105" s="27" t="s">
        <v>219</v>
      </c>
    </row>
    <row r="106" spans="1:7" ht="26.25" x14ac:dyDescent="0.25">
      <c r="A106" s="3">
        <v>104</v>
      </c>
      <c r="E106" s="11" t="s">
        <v>220</v>
      </c>
      <c r="F106" s="27" t="s">
        <v>221</v>
      </c>
    </row>
    <row r="107" spans="1:7" ht="26.25" x14ac:dyDescent="0.25">
      <c r="A107" s="3">
        <v>105</v>
      </c>
      <c r="E107" s="11" t="s">
        <v>222</v>
      </c>
      <c r="F107" s="27" t="s">
        <v>223</v>
      </c>
    </row>
    <row r="108" spans="1:7" ht="26.25" x14ac:dyDescent="0.25">
      <c r="A108" s="3">
        <v>106</v>
      </c>
      <c r="E108" s="11" t="s">
        <v>185</v>
      </c>
      <c r="F108" s="27" t="s">
        <v>224</v>
      </c>
    </row>
    <row r="109" spans="1:7" ht="26.25" x14ac:dyDescent="0.25">
      <c r="A109" s="3">
        <v>107</v>
      </c>
      <c r="E109" s="11" t="s">
        <v>191</v>
      </c>
      <c r="F109" s="27" t="s">
        <v>225</v>
      </c>
    </row>
    <row r="110" spans="1:7" ht="26.25" x14ac:dyDescent="0.25">
      <c r="A110" s="3">
        <v>108</v>
      </c>
      <c r="E110" s="11" t="s">
        <v>226</v>
      </c>
      <c r="F110" s="27" t="s">
        <v>227</v>
      </c>
    </row>
    <row r="111" spans="1:7" ht="26.25" x14ac:dyDescent="0.25">
      <c r="A111" s="3">
        <v>109</v>
      </c>
      <c r="E111" s="11" t="s">
        <v>189</v>
      </c>
      <c r="F111" s="27" t="s">
        <v>228</v>
      </c>
    </row>
    <row r="112" spans="1:7" ht="26.25" x14ac:dyDescent="0.25">
      <c r="A112" s="3">
        <v>110</v>
      </c>
      <c r="E112" s="11" t="s">
        <v>179</v>
      </c>
      <c r="F112" s="27" t="s">
        <v>229</v>
      </c>
    </row>
    <row r="113" spans="1:6" ht="26.25" x14ac:dyDescent="0.25">
      <c r="A113" s="3">
        <v>111</v>
      </c>
      <c r="E113" s="11" t="s">
        <v>230</v>
      </c>
      <c r="F113" s="27" t="s">
        <v>231</v>
      </c>
    </row>
    <row r="114" spans="1:6" ht="26.25" x14ac:dyDescent="0.25">
      <c r="A114" s="3">
        <v>112</v>
      </c>
      <c r="E114" s="11" t="s">
        <v>232</v>
      </c>
      <c r="F114" s="27" t="s">
        <v>233</v>
      </c>
    </row>
    <row r="115" spans="1:6" ht="15.75" x14ac:dyDescent="0.25">
      <c r="A115" s="3">
        <v>113</v>
      </c>
      <c r="B115" s="67" t="s">
        <v>234</v>
      </c>
      <c r="C115" s="68"/>
      <c r="D115" s="68"/>
      <c r="E115" s="68"/>
      <c r="F115" s="69"/>
    </row>
    <row r="116" spans="1:6" ht="15.75" x14ac:dyDescent="0.25">
      <c r="A116" s="3">
        <v>114</v>
      </c>
      <c r="B116" s="70"/>
      <c r="C116" s="71"/>
      <c r="D116" s="71"/>
      <c r="E116" s="71"/>
      <c r="F116" s="72"/>
    </row>
    <row r="117" spans="1:6" ht="26.25" x14ac:dyDescent="0.25">
      <c r="A117" s="3">
        <v>115</v>
      </c>
      <c r="B117" s="20" t="s">
        <v>1</v>
      </c>
      <c r="C117" s="21" t="s">
        <v>235</v>
      </c>
      <c r="D117" s="22" t="s">
        <v>3</v>
      </c>
      <c r="F117" s="23" t="s">
        <v>236</v>
      </c>
    </row>
    <row r="118" spans="1:6" ht="46.5" x14ac:dyDescent="0.25">
      <c r="A118" s="3">
        <v>116</v>
      </c>
      <c r="B118" s="5" t="s">
        <v>8</v>
      </c>
      <c r="C118" s="24" t="s">
        <v>237</v>
      </c>
      <c r="D118" s="9" t="s">
        <v>238</v>
      </c>
      <c r="F118" s="25" t="s">
        <v>239</v>
      </c>
    </row>
    <row r="119" spans="1:6" ht="46.5" x14ac:dyDescent="0.25">
      <c r="A119" s="3">
        <v>117</v>
      </c>
      <c r="B119" s="5" t="s">
        <v>8</v>
      </c>
      <c r="C119" s="24" t="s">
        <v>240</v>
      </c>
      <c r="D119" s="9" t="s">
        <v>241</v>
      </c>
      <c r="F119" s="25" t="s">
        <v>242</v>
      </c>
    </row>
    <row r="120" spans="1:6" ht="23.25" x14ac:dyDescent="0.25">
      <c r="A120" s="3">
        <v>118</v>
      </c>
      <c r="B120" s="5"/>
      <c r="C120" s="24" t="s">
        <v>243</v>
      </c>
      <c r="D120" s="9" t="s">
        <v>244</v>
      </c>
      <c r="F120" s="25" t="s">
        <v>245</v>
      </c>
    </row>
    <row r="121" spans="1:6" ht="46.5" x14ac:dyDescent="0.25">
      <c r="A121" s="3">
        <v>119</v>
      </c>
      <c r="B121" s="5" t="s">
        <v>8</v>
      </c>
      <c r="C121" s="24" t="s">
        <v>246</v>
      </c>
      <c r="D121" s="9" t="s">
        <v>247</v>
      </c>
      <c r="F121" s="25" t="s">
        <v>248</v>
      </c>
    </row>
    <row r="122" spans="1:6" ht="46.5" x14ac:dyDescent="0.25">
      <c r="A122" s="3">
        <v>120</v>
      </c>
      <c r="B122" s="5" t="s">
        <v>8</v>
      </c>
      <c r="C122" s="24" t="s">
        <v>249</v>
      </c>
      <c r="D122" s="9" t="s">
        <v>250</v>
      </c>
      <c r="F122" s="25" t="s">
        <v>251</v>
      </c>
    </row>
    <row r="123" spans="1:6" ht="23.25" x14ac:dyDescent="0.25">
      <c r="A123" s="3">
        <v>121</v>
      </c>
      <c r="B123" s="5" t="s">
        <v>8</v>
      </c>
      <c r="C123" s="24" t="s">
        <v>252</v>
      </c>
      <c r="D123" s="9" t="s">
        <v>253</v>
      </c>
      <c r="E123" s="2"/>
      <c r="F123" s="25" t="s">
        <v>254</v>
      </c>
    </row>
    <row r="124" spans="1:6" ht="46.5" x14ac:dyDescent="0.25">
      <c r="A124" s="3">
        <v>122</v>
      </c>
      <c r="B124" s="5" t="s">
        <v>8</v>
      </c>
      <c r="C124" s="24" t="s">
        <v>255</v>
      </c>
      <c r="D124" s="9" t="s">
        <v>256</v>
      </c>
      <c r="F124" s="25" t="s">
        <v>257</v>
      </c>
    </row>
    <row r="125" spans="1:6" ht="23.25" x14ac:dyDescent="0.25">
      <c r="A125" s="3">
        <v>123</v>
      </c>
      <c r="B125" s="5" t="s">
        <v>8</v>
      </c>
      <c r="C125" s="24" t="s">
        <v>258</v>
      </c>
      <c r="D125" s="9" t="s">
        <v>259</v>
      </c>
      <c r="F125" s="25" t="s">
        <v>260</v>
      </c>
    </row>
    <row r="126" spans="1:6" ht="23.25" x14ac:dyDescent="0.25">
      <c r="A126" s="3">
        <v>124</v>
      </c>
      <c r="B126" s="5" t="s">
        <v>8</v>
      </c>
      <c r="C126" s="24" t="s">
        <v>261</v>
      </c>
      <c r="D126" s="9" t="s">
        <v>262</v>
      </c>
      <c r="F126" s="25" t="s">
        <v>263</v>
      </c>
    </row>
    <row r="127" spans="1:6" ht="23.25" x14ac:dyDescent="0.25">
      <c r="A127" s="3">
        <v>125</v>
      </c>
      <c r="B127" s="5" t="s">
        <v>8</v>
      </c>
      <c r="C127" s="24" t="s">
        <v>264</v>
      </c>
      <c r="D127" s="9" t="s">
        <v>265</v>
      </c>
      <c r="F127" s="25" t="s">
        <v>266</v>
      </c>
    </row>
    <row r="128" spans="1:6" ht="46.5" x14ac:dyDescent="0.25">
      <c r="A128" s="3">
        <v>126</v>
      </c>
      <c r="B128" s="5" t="s">
        <v>8</v>
      </c>
      <c r="C128" s="24" t="s">
        <v>267</v>
      </c>
      <c r="D128" s="9" t="s">
        <v>268</v>
      </c>
      <c r="F128" s="25" t="s">
        <v>269</v>
      </c>
    </row>
    <row r="129" spans="1:6" ht="23.25" x14ac:dyDescent="0.25">
      <c r="A129" s="3">
        <v>127</v>
      </c>
      <c r="B129" s="5"/>
      <c r="C129" s="24" t="s">
        <v>270</v>
      </c>
      <c r="D129" s="9" t="s">
        <v>271</v>
      </c>
      <c r="F129" s="25" t="s">
        <v>272</v>
      </c>
    </row>
    <row r="130" spans="1:6" ht="46.5" x14ac:dyDescent="0.25">
      <c r="A130" s="3">
        <v>128</v>
      </c>
      <c r="B130" s="5"/>
      <c r="C130" s="24" t="s">
        <v>273</v>
      </c>
      <c r="D130" s="9" t="s">
        <v>274</v>
      </c>
      <c r="F130" s="25" t="s">
        <v>275</v>
      </c>
    </row>
    <row r="131" spans="1:6" ht="23.25" x14ac:dyDescent="0.25">
      <c r="A131" s="3">
        <v>129</v>
      </c>
      <c r="B131" s="5"/>
      <c r="C131" s="24" t="s">
        <v>276</v>
      </c>
      <c r="D131" s="9" t="s">
        <v>277</v>
      </c>
      <c r="F131" s="25" t="s">
        <v>278</v>
      </c>
    </row>
    <row r="132" spans="1:6" ht="46.5" x14ac:dyDescent="0.25">
      <c r="A132" s="3">
        <v>130</v>
      </c>
      <c r="B132" s="5" t="s">
        <v>8</v>
      </c>
      <c r="C132" s="24" t="s">
        <v>279</v>
      </c>
      <c r="D132" s="9" t="s">
        <v>280</v>
      </c>
      <c r="F132" s="25" t="s">
        <v>281</v>
      </c>
    </row>
    <row r="133" spans="1:6" ht="46.5" x14ac:dyDescent="0.25">
      <c r="A133" s="3">
        <v>131</v>
      </c>
      <c r="B133" s="5" t="s">
        <v>8</v>
      </c>
      <c r="C133" s="24" t="s">
        <v>282</v>
      </c>
      <c r="D133" s="9" t="s">
        <v>283</v>
      </c>
      <c r="F133" s="25" t="s">
        <v>284</v>
      </c>
    </row>
    <row r="134" spans="1:6" x14ac:dyDescent="0.25">
      <c r="F134" s="26"/>
    </row>
    <row r="135" spans="1:6" x14ac:dyDescent="0.25">
      <c r="F135" s="26"/>
    </row>
    <row r="136" spans="1:6" x14ac:dyDescent="0.25">
      <c r="F136" s="26"/>
    </row>
  </sheetData>
  <mergeCells count="10">
    <mergeCell ref="A2:A3"/>
    <mergeCell ref="B2:B3"/>
    <mergeCell ref="B91:F92"/>
    <mergeCell ref="I2:I3"/>
    <mergeCell ref="B115:F116"/>
    <mergeCell ref="F2:F3"/>
    <mergeCell ref="G2:G3"/>
    <mergeCell ref="H2:H3"/>
    <mergeCell ref="B79:F80"/>
    <mergeCell ref="C2:C3"/>
  </mergeCells>
  <phoneticPr fontId="5" type="noConversion"/>
  <hyperlinks>
    <hyperlink ref="C36" r:id="rId1" display="https://www.machiningdoctor.com/gcodes/g54/" xr:uid="{180F53C5-0D35-4E3C-9AE6-A383860A0218}"/>
    <hyperlink ref="C37" r:id="rId2" display="https://www.machiningdoctor.com/gcodes/g54/" xr:uid="{D03A0DD8-00F7-434A-86CE-136A1A367FB7}"/>
    <hyperlink ref="C38" r:id="rId3" display="https://www.machiningdoctor.com/gcodes/g54/" xr:uid="{51548AE7-358F-4BE0-B310-9E9AA8B95692}"/>
    <hyperlink ref="C50" r:id="rId4" display="https://www.machiningdoctor.com/gcodes/" xr:uid="{CBFF2DC4-5672-4A96-BAA6-AB3635187859}"/>
    <hyperlink ref="C49" r:id="rId5" display="https://www.machiningdoctor.com/gcodes/" xr:uid="{F7A502FA-D57F-4631-B3C4-826E69589433}"/>
    <hyperlink ref="C48" r:id="rId6" display="https://www.machiningdoctor.com/gcodes/" xr:uid="{9F2EC44D-344D-4688-846F-66ECBC29D0E6}"/>
    <hyperlink ref="C47" r:id="rId7" display="https://www.machiningdoctor.com/gcodes/" xr:uid="{D430F067-C1D8-42F9-8BD1-BC60A7ABB956}"/>
    <hyperlink ref="C46" r:id="rId8" display="https://www.machiningdoctor.com/gcodes/" xr:uid="{4EAF144A-E254-444A-88AF-FAC5BE925CB5}"/>
    <hyperlink ref="C45" r:id="rId9" display="https://www.machiningdoctor.com/gcodes/" xr:uid="{F0A4E14A-E7C7-4A7C-BF21-935C9F30F7EF}"/>
    <hyperlink ref="C44" r:id="rId10" display="https://www.machiningdoctor.com/gcodes/" xr:uid="{D8D38256-F464-4CCD-B3C9-8848E5710A4A}"/>
    <hyperlink ref="C43" r:id="rId11" display="https://www.machiningdoctor.com/gcodes/" xr:uid="{0515079D-B857-477A-960A-75DEED18058F}"/>
    <hyperlink ref="C42" r:id="rId12" display="https://www.machiningdoctor.com/gcodes/" xr:uid="{5D01670C-8A9E-4FB5-A436-8381EED36D11}"/>
    <hyperlink ref="C41" r:id="rId13" display="https://www.machiningdoctor.com/gcodes/" xr:uid="{D6537A7C-FC4D-4DA7-BC22-977012333DC0}"/>
    <hyperlink ref="C40" r:id="rId14" display="https://www.machiningdoctor.com/gcodes/g54/" xr:uid="{EC8D8824-0AB4-4654-9FB2-D080B70A023F}"/>
    <hyperlink ref="C39" r:id="rId15" display="https://www.machiningdoctor.com/gcodes/g54/" xr:uid="{F3B2D3E6-D150-48A6-8C1E-AD7C65F113EF}"/>
    <hyperlink ref="C51" r:id="rId16" display="https://www.machiningdoctor.com/gcodes/" xr:uid="{2A68F059-59FA-4BC4-8A96-86729ED7B573}"/>
    <hyperlink ref="F89" r:id="rId17" display="https://www.machiningdoctor.com/glossary/turret/" xr:uid="{CD23B810-65ED-4408-9466-0B8D5972D892}"/>
    <hyperlink ref="I36" r:id="rId18" display="https://www.machiningdoctor.com/gcodes/g54/" xr:uid="{5FF0C003-E3C3-44C3-8B55-FD4E0C2DA772}"/>
    <hyperlink ref="I37" r:id="rId19" display="https://www.machiningdoctor.com/gcodes/g54/" xr:uid="{97CDA40B-3309-440E-9E5A-5F37F5838C28}"/>
    <hyperlink ref="I38" r:id="rId20" display="https://www.machiningdoctor.com/gcodes/g54/" xr:uid="{B529B97D-8CCB-46B3-BDDA-70DAEA1DC4D3}"/>
    <hyperlink ref="I50" r:id="rId21" display="https://www.machiningdoctor.com/gcodes/" xr:uid="{E5D2710F-B749-4926-800C-01375E0B5760}"/>
    <hyperlink ref="I49" r:id="rId22" display="https://www.machiningdoctor.com/gcodes/" xr:uid="{4441595F-83B4-49F1-AFA3-CE315E6920D3}"/>
    <hyperlink ref="I48" r:id="rId23" display="https://www.machiningdoctor.com/gcodes/" xr:uid="{45044989-7627-4359-8BA6-BBE0B1473496}"/>
    <hyperlink ref="I47" r:id="rId24" display="https://www.machiningdoctor.com/gcodes/" xr:uid="{956C4BAB-4544-4575-AD4C-572DDF9B13C0}"/>
    <hyperlink ref="I46" r:id="rId25" display="https://www.machiningdoctor.com/gcodes/" xr:uid="{68161210-7E1D-46CB-B023-7AD69870D1B3}"/>
    <hyperlink ref="I45" r:id="rId26" display="https://www.machiningdoctor.com/gcodes/" xr:uid="{27129E56-8C9D-4E05-A7F3-A46D676F709C}"/>
    <hyperlink ref="I44" r:id="rId27" display="https://www.machiningdoctor.com/gcodes/" xr:uid="{E8DB8D7B-622F-4518-9254-E17A4D5D3A5F}"/>
    <hyperlink ref="I43" r:id="rId28" display="https://www.machiningdoctor.com/gcodes/" xr:uid="{CF010D94-7183-4536-B411-E32FDF106B98}"/>
    <hyperlink ref="I42" r:id="rId29" display="https://www.machiningdoctor.com/gcodes/" xr:uid="{E92A8848-5DA9-4812-A6B7-1FC423C63E32}"/>
    <hyperlink ref="I41" r:id="rId30" display="https://www.machiningdoctor.com/gcodes/" xr:uid="{CD14E642-A181-4A55-B7FD-3F3B7BC158C9}"/>
    <hyperlink ref="I40" r:id="rId31" display="https://www.machiningdoctor.com/gcodes/g54/" xr:uid="{99CC9A6F-7AF1-4198-B56B-2DBE48CD689C}"/>
    <hyperlink ref="I39" r:id="rId32" display="https://www.machiningdoctor.com/gcodes/g54/" xr:uid="{9352F173-51A0-4E74-A29E-B9DDF7203042}"/>
    <hyperlink ref="I51" r:id="rId33" display="https://www.machiningdoctor.com/gcodes/" xr:uid="{277C0A66-04BC-41F0-BA3A-3FE53B685254}"/>
  </hyperlinks>
  <pageMargins left="0.7" right="0.7" top="0.75" bottom="0.75" header="0.3" footer="0.3"/>
  <pageSetup paperSize="9" orientation="portrait" verticalDpi="0" r:id="rId3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1E91F-1A22-4D46-9E80-10C8AD4D79AF}">
  <dimension ref="A1:CA30"/>
  <sheetViews>
    <sheetView topLeftCell="M1" zoomScale="85" zoomScaleNormal="85" workbookViewId="0">
      <selection activeCell="AC13" sqref="AC13"/>
    </sheetView>
  </sheetViews>
  <sheetFormatPr defaultColWidth="3.28515625" defaultRowHeight="15" x14ac:dyDescent="0.25"/>
  <cols>
    <col min="8" max="8" width="3.28515625" customWidth="1"/>
    <col min="39" max="41" width="3.28515625" customWidth="1"/>
    <col min="43" max="43" width="4.42578125" bestFit="1" customWidth="1"/>
    <col min="63" max="63" width="5.5703125" bestFit="1" customWidth="1"/>
    <col min="65" max="65" width="4.42578125" bestFit="1" customWidth="1"/>
  </cols>
  <sheetData>
    <row r="1" spans="1:79" ht="18" x14ac:dyDescent="0.25">
      <c r="A1" s="83" t="s">
        <v>285</v>
      </c>
      <c r="B1" s="84"/>
      <c r="C1" s="84"/>
      <c r="D1" s="84"/>
      <c r="E1" s="87" t="s">
        <v>332</v>
      </c>
      <c r="F1" s="88" t="s">
        <v>286</v>
      </c>
      <c r="G1" s="88"/>
      <c r="H1" s="88"/>
      <c r="I1" s="34"/>
      <c r="J1" s="34"/>
      <c r="K1" s="48" t="s">
        <v>287</v>
      </c>
      <c r="L1" s="33" t="s">
        <v>288</v>
      </c>
      <c r="M1" s="86" t="s">
        <v>289</v>
      </c>
      <c r="N1" s="86"/>
      <c r="O1" s="86"/>
      <c r="P1" s="86"/>
      <c r="Q1" s="86"/>
      <c r="R1" s="86"/>
      <c r="S1" s="86"/>
      <c r="T1" s="34"/>
      <c r="U1" s="34"/>
      <c r="V1" s="34"/>
      <c r="W1" s="34"/>
      <c r="X1" s="34"/>
      <c r="Y1" s="34"/>
      <c r="Z1" s="34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6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spans="1:79" ht="15" customHeight="1" x14ac:dyDescent="0.25">
      <c r="A2" s="81" t="s">
        <v>290</v>
      </c>
      <c r="B2" s="82"/>
      <c r="C2" s="82"/>
      <c r="D2" s="82"/>
      <c r="E2" s="80"/>
      <c r="F2" s="89" t="s">
        <v>291</v>
      </c>
      <c r="G2" s="89"/>
      <c r="H2" s="89"/>
      <c r="K2" s="37" t="s">
        <v>292</v>
      </c>
      <c r="L2" s="37" t="s">
        <v>288</v>
      </c>
      <c r="M2" s="85" t="s">
        <v>293</v>
      </c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AA2" s="1"/>
      <c r="AB2" s="1"/>
      <c r="AC2" s="90" t="s">
        <v>316</v>
      </c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0"/>
      <c r="AT2" s="90"/>
      <c r="AU2" s="90"/>
      <c r="AV2" s="90"/>
      <c r="AW2" s="90"/>
      <c r="AX2" s="90"/>
      <c r="AY2" s="90"/>
      <c r="AZ2" s="90"/>
      <c r="BA2" s="90"/>
      <c r="BB2" s="90"/>
      <c r="BC2" s="90"/>
      <c r="BD2" s="90"/>
      <c r="BE2" s="90"/>
      <c r="BF2" s="90"/>
      <c r="BG2" s="90"/>
      <c r="BH2" s="90"/>
      <c r="BI2" s="90"/>
      <c r="BJ2" s="90"/>
      <c r="BK2" s="90"/>
      <c r="BL2" s="90"/>
      <c r="BM2" s="90"/>
      <c r="BN2" s="90"/>
      <c r="BO2" s="90"/>
      <c r="BP2" s="90"/>
      <c r="BQ2" s="91"/>
      <c r="BR2" s="1"/>
      <c r="BS2" s="1"/>
      <c r="BT2" s="1"/>
      <c r="BU2" s="1"/>
      <c r="BV2" s="1"/>
      <c r="BW2" s="1"/>
      <c r="BX2" s="1"/>
      <c r="BY2" s="1"/>
      <c r="BZ2" s="1"/>
      <c r="CA2" s="1"/>
    </row>
    <row r="3" spans="1:79" x14ac:dyDescent="0.25">
      <c r="A3" s="38"/>
      <c r="K3" s="37" t="s">
        <v>294</v>
      </c>
      <c r="L3" s="37" t="s">
        <v>288</v>
      </c>
      <c r="M3" s="85" t="s">
        <v>295</v>
      </c>
      <c r="N3" s="85"/>
      <c r="O3" s="85"/>
      <c r="P3" s="85"/>
      <c r="Q3" s="85"/>
      <c r="R3" s="85"/>
      <c r="S3" s="85"/>
      <c r="AA3" s="1"/>
      <c r="AB3" s="1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0"/>
      <c r="BG3" s="90"/>
      <c r="BH3" s="90"/>
      <c r="BI3" s="90"/>
      <c r="BJ3" s="90"/>
      <c r="BK3" s="90"/>
      <c r="BL3" s="90"/>
      <c r="BM3" s="90"/>
      <c r="BN3" s="90"/>
      <c r="BO3" s="90"/>
      <c r="BP3" s="90"/>
      <c r="BQ3" s="91"/>
      <c r="BR3" s="1"/>
      <c r="BS3" s="1"/>
      <c r="BT3" s="1"/>
      <c r="BU3" s="1"/>
      <c r="BV3" s="1"/>
      <c r="BW3" s="1"/>
      <c r="BX3" s="1"/>
      <c r="BY3" s="1"/>
      <c r="BZ3" s="1"/>
      <c r="CA3" s="1"/>
    </row>
    <row r="4" spans="1:79" x14ac:dyDescent="0.25">
      <c r="A4" s="81" t="s">
        <v>296</v>
      </c>
      <c r="B4" s="82"/>
      <c r="C4" s="82"/>
      <c r="D4" s="82"/>
      <c r="E4" s="82"/>
      <c r="F4" s="82"/>
      <c r="G4" s="82"/>
      <c r="H4" s="82"/>
      <c r="K4" s="37" t="s">
        <v>297</v>
      </c>
      <c r="L4" s="37" t="s">
        <v>288</v>
      </c>
      <c r="M4" s="85" t="s">
        <v>298</v>
      </c>
      <c r="N4" s="85"/>
      <c r="O4" s="85"/>
      <c r="P4" s="85"/>
      <c r="Q4" s="85"/>
      <c r="R4" s="85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39"/>
      <c r="BR4" s="1"/>
      <c r="BS4" s="1"/>
      <c r="BT4" s="1"/>
      <c r="BU4" s="1"/>
      <c r="BV4" s="1"/>
      <c r="BW4" s="1"/>
      <c r="BX4" s="1"/>
      <c r="BY4" s="1"/>
      <c r="BZ4" s="1"/>
      <c r="CA4" s="1"/>
    </row>
    <row r="5" spans="1:79" ht="18" x14ac:dyDescent="0.25">
      <c r="A5" s="79" t="s">
        <v>333</v>
      </c>
      <c r="B5" s="80"/>
      <c r="C5" s="80"/>
      <c r="D5" s="80"/>
      <c r="E5" s="80"/>
      <c r="F5" s="80"/>
      <c r="G5" s="80"/>
      <c r="H5" s="80"/>
      <c r="K5" s="37" t="s">
        <v>299</v>
      </c>
      <c r="L5" s="37" t="s">
        <v>288</v>
      </c>
      <c r="M5" s="85" t="s">
        <v>300</v>
      </c>
      <c r="N5" s="85"/>
      <c r="O5" s="85"/>
      <c r="P5" s="85"/>
      <c r="Q5" s="85"/>
      <c r="R5" s="85"/>
      <c r="S5" s="85"/>
      <c r="T5" s="85"/>
      <c r="AA5" s="92" t="s">
        <v>212</v>
      </c>
      <c r="AB5" s="92"/>
      <c r="AC5" s="92" t="s">
        <v>322</v>
      </c>
      <c r="AD5" s="92" t="s">
        <v>329</v>
      </c>
      <c r="AE5" s="92"/>
      <c r="AF5" s="94" t="s">
        <v>319</v>
      </c>
      <c r="AG5" s="94"/>
      <c r="AH5" s="94"/>
      <c r="AI5" s="94"/>
      <c r="AJ5" s="92" t="s">
        <v>317</v>
      </c>
      <c r="AK5" s="94" t="s">
        <v>318</v>
      </c>
      <c r="AL5" s="94"/>
      <c r="AM5" s="94"/>
      <c r="AN5" s="94"/>
      <c r="AO5" s="92" t="s">
        <v>317</v>
      </c>
      <c r="AP5" s="94" t="s">
        <v>320</v>
      </c>
      <c r="AQ5" s="94"/>
      <c r="AR5" s="94"/>
      <c r="AS5" s="92" t="s">
        <v>317</v>
      </c>
      <c r="AT5" s="95">
        <v>2548</v>
      </c>
      <c r="AU5" s="95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39"/>
      <c r="BR5" s="1"/>
      <c r="BS5" s="1"/>
      <c r="BT5" s="1"/>
      <c r="BU5" s="1"/>
      <c r="BV5" s="1"/>
      <c r="BW5" s="1"/>
      <c r="BX5" s="1"/>
      <c r="BY5" s="1"/>
      <c r="BZ5" s="1"/>
      <c r="CA5" s="1"/>
    </row>
    <row r="6" spans="1:79" x14ac:dyDescent="0.25">
      <c r="A6" s="38"/>
      <c r="K6" s="37" t="s">
        <v>301</v>
      </c>
      <c r="L6" s="37" t="s">
        <v>288</v>
      </c>
      <c r="M6" s="85" t="s">
        <v>302</v>
      </c>
      <c r="N6" s="85"/>
      <c r="O6" s="85"/>
      <c r="P6" s="85"/>
      <c r="Q6" s="85"/>
      <c r="R6" s="85"/>
      <c r="S6" s="85"/>
      <c r="T6" s="85"/>
      <c r="U6" s="85"/>
      <c r="V6" s="85"/>
      <c r="W6" s="85"/>
      <c r="AA6" s="92"/>
      <c r="AB6" s="92"/>
      <c r="AC6" s="92"/>
      <c r="AD6" s="92"/>
      <c r="AE6" s="92"/>
      <c r="AF6" s="93" t="s">
        <v>291</v>
      </c>
      <c r="AG6" s="93"/>
      <c r="AH6" s="93"/>
      <c r="AI6" s="93"/>
      <c r="AJ6" s="92"/>
      <c r="AK6" s="93" t="s">
        <v>321</v>
      </c>
      <c r="AL6" s="93"/>
      <c r="AM6" s="93"/>
      <c r="AN6" s="93"/>
      <c r="AO6" s="92"/>
      <c r="AP6" s="93">
        <v>31.4</v>
      </c>
      <c r="AQ6" s="93"/>
      <c r="AR6" s="93"/>
      <c r="AS6" s="92"/>
      <c r="AT6" s="95"/>
      <c r="AU6" s="95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39"/>
      <c r="BR6" s="1"/>
      <c r="BS6" s="1"/>
      <c r="BT6" s="1"/>
      <c r="BU6" s="1"/>
      <c r="BV6" s="1"/>
      <c r="BW6" s="1"/>
      <c r="BX6" s="1"/>
      <c r="BY6" s="1"/>
      <c r="BZ6" s="1"/>
      <c r="CA6" s="1"/>
    </row>
    <row r="7" spans="1:79" ht="18" x14ac:dyDescent="0.25">
      <c r="A7" s="81" t="s">
        <v>303</v>
      </c>
      <c r="B7" s="82"/>
      <c r="C7" s="82"/>
      <c r="D7" s="82"/>
      <c r="E7" s="82"/>
      <c r="K7" s="37" t="s">
        <v>331</v>
      </c>
      <c r="L7" s="37" t="s">
        <v>288</v>
      </c>
      <c r="M7" t="s">
        <v>304</v>
      </c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39"/>
      <c r="BR7" s="1"/>
      <c r="BS7" s="1"/>
      <c r="BT7" s="1"/>
      <c r="BU7" s="1"/>
      <c r="BV7" s="1"/>
      <c r="BW7" s="1"/>
      <c r="BX7" s="1"/>
      <c r="BY7" s="1"/>
      <c r="BZ7" s="1"/>
      <c r="CA7" s="1"/>
    </row>
    <row r="8" spans="1:79" ht="18" x14ac:dyDescent="0.25">
      <c r="A8" s="79" t="s">
        <v>334</v>
      </c>
      <c r="B8" s="80"/>
      <c r="C8" s="80"/>
      <c r="D8" s="80"/>
      <c r="E8" s="80"/>
      <c r="K8" s="37" t="s">
        <v>330</v>
      </c>
      <c r="L8" s="37" t="s">
        <v>288</v>
      </c>
      <c r="M8" t="s">
        <v>305</v>
      </c>
      <c r="AA8" s="96" t="s">
        <v>323</v>
      </c>
      <c r="AB8" s="96"/>
      <c r="AC8" s="96"/>
      <c r="AD8" s="96"/>
      <c r="AE8" s="96"/>
      <c r="AF8" s="96"/>
      <c r="AG8" s="40" t="s">
        <v>322</v>
      </c>
      <c r="AH8" s="2" t="s">
        <v>324</v>
      </c>
      <c r="AI8" s="40" t="s">
        <v>317</v>
      </c>
      <c r="AJ8" s="97" t="s">
        <v>325</v>
      </c>
      <c r="AK8" s="97"/>
      <c r="AL8" s="40" t="s">
        <v>326</v>
      </c>
      <c r="AM8" s="2">
        <v>3</v>
      </c>
      <c r="AN8" s="40" t="s">
        <v>326</v>
      </c>
      <c r="AO8" s="42">
        <v>2548</v>
      </c>
      <c r="AP8" s="40" t="s">
        <v>317</v>
      </c>
      <c r="AQ8" s="98">
        <v>382.2</v>
      </c>
      <c r="AR8" s="98"/>
      <c r="AS8" s="1"/>
      <c r="AT8" s="1"/>
      <c r="AU8" s="96" t="s">
        <v>327</v>
      </c>
      <c r="AV8" s="96"/>
      <c r="AW8" s="96"/>
      <c r="AX8" s="96"/>
      <c r="AY8" s="96"/>
      <c r="AZ8" s="96"/>
      <c r="BA8" s="2" t="s">
        <v>322</v>
      </c>
      <c r="BB8" s="2" t="s">
        <v>324</v>
      </c>
      <c r="BC8" s="40" t="s">
        <v>317</v>
      </c>
      <c r="BD8" s="43" t="s">
        <v>335</v>
      </c>
      <c r="BE8" s="40" t="s">
        <v>326</v>
      </c>
      <c r="BF8" s="49" t="s">
        <v>287</v>
      </c>
      <c r="BG8" s="44" t="s">
        <v>317</v>
      </c>
      <c r="BH8" s="97" t="s">
        <v>328</v>
      </c>
      <c r="BI8" s="97"/>
      <c r="BJ8" s="40" t="s">
        <v>326</v>
      </c>
      <c r="BK8" s="2">
        <v>2548</v>
      </c>
      <c r="BL8" s="40" t="s">
        <v>317</v>
      </c>
      <c r="BM8" s="95">
        <v>382.2</v>
      </c>
      <c r="BN8" s="95"/>
      <c r="BO8" s="1"/>
      <c r="BP8" s="1"/>
      <c r="BQ8" s="39"/>
      <c r="BR8" s="1"/>
      <c r="BS8" s="1"/>
      <c r="BT8" s="1"/>
      <c r="BU8" s="1"/>
      <c r="BV8" s="1"/>
      <c r="BW8" s="1"/>
      <c r="BX8" s="1"/>
      <c r="BY8" s="1"/>
      <c r="BZ8" s="1"/>
      <c r="CA8" s="1"/>
    </row>
    <row r="9" spans="1:79" ht="15.75" thickBot="1" x14ac:dyDescent="0.3">
      <c r="A9" s="45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6"/>
    </row>
    <row r="16" spans="1:79" x14ac:dyDescent="0.25">
      <c r="Z16" s="28"/>
    </row>
    <row r="30" spans="50:50" x14ac:dyDescent="0.25">
      <c r="AX30" s="47"/>
    </row>
  </sheetData>
  <mergeCells count="35">
    <mergeCell ref="AU8:AZ8"/>
    <mergeCell ref="BH8:BI8"/>
    <mergeCell ref="BM8:BN8"/>
    <mergeCell ref="AA5:AB6"/>
    <mergeCell ref="AC5:AC6"/>
    <mergeCell ref="AA8:AF8"/>
    <mergeCell ref="AJ8:AK8"/>
    <mergeCell ref="AQ8:AR8"/>
    <mergeCell ref="AC2:BQ3"/>
    <mergeCell ref="AD5:AE6"/>
    <mergeCell ref="AF6:AI6"/>
    <mergeCell ref="AF5:AI5"/>
    <mergeCell ref="AJ5:AJ6"/>
    <mergeCell ref="AK5:AN5"/>
    <mergeCell ref="AK6:AN6"/>
    <mergeCell ref="AO5:AO6"/>
    <mergeCell ref="AP5:AR5"/>
    <mergeCell ref="AP6:AR6"/>
    <mergeCell ref="AS5:AS6"/>
    <mergeCell ref="AT5:AU6"/>
    <mergeCell ref="A8:E8"/>
    <mergeCell ref="A7:E7"/>
    <mergeCell ref="A2:D2"/>
    <mergeCell ref="A1:D1"/>
    <mergeCell ref="M4:R4"/>
    <mergeCell ref="M5:T5"/>
    <mergeCell ref="M6:W6"/>
    <mergeCell ref="A5:H5"/>
    <mergeCell ref="A4:H4"/>
    <mergeCell ref="M2:X2"/>
    <mergeCell ref="M1:S1"/>
    <mergeCell ref="M3:S3"/>
    <mergeCell ref="E1:E2"/>
    <mergeCell ref="F1:H1"/>
    <mergeCell ref="F2:H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855C1-9625-4AF9-94A8-07079190D711}">
  <dimension ref="A1:AM21"/>
  <sheetViews>
    <sheetView tabSelected="1" zoomScaleNormal="100" workbookViewId="0">
      <selection activeCell="U24" sqref="T24:U24"/>
    </sheetView>
  </sheetViews>
  <sheetFormatPr defaultRowHeight="15" x14ac:dyDescent="0.25"/>
  <cols>
    <col min="1" max="1" width="9.85546875" customWidth="1"/>
    <col min="4" max="4" width="15.5703125" customWidth="1"/>
    <col min="6" max="6" width="10" customWidth="1"/>
    <col min="7" max="7" width="9.85546875" customWidth="1"/>
    <col min="10" max="10" width="12.42578125" customWidth="1"/>
    <col min="11" max="11" width="13.28515625" customWidth="1"/>
    <col min="12" max="12" width="10.85546875" customWidth="1"/>
    <col min="16" max="47" width="3.28515625" customWidth="1"/>
  </cols>
  <sheetData>
    <row r="1" spans="1:39" ht="18" x14ac:dyDescent="0.25">
      <c r="A1" s="55" t="s">
        <v>306</v>
      </c>
      <c r="B1" s="50" t="s">
        <v>307</v>
      </c>
      <c r="C1" s="50" t="s">
        <v>308</v>
      </c>
      <c r="D1" s="50" t="s">
        <v>309</v>
      </c>
      <c r="E1" s="51"/>
      <c r="F1" s="50" t="s">
        <v>310</v>
      </c>
      <c r="G1" s="50" t="s">
        <v>311</v>
      </c>
      <c r="H1" s="51"/>
      <c r="I1" s="50" t="s">
        <v>312</v>
      </c>
      <c r="J1" s="51" t="s">
        <v>313</v>
      </c>
      <c r="K1" s="51" t="s">
        <v>314</v>
      </c>
      <c r="L1" s="52" t="s">
        <v>315</v>
      </c>
      <c r="P1" s="83" t="s">
        <v>285</v>
      </c>
      <c r="Q1" s="84"/>
      <c r="R1" s="84"/>
      <c r="S1" s="84"/>
      <c r="T1" s="87" t="s">
        <v>332</v>
      </c>
      <c r="U1" s="88" t="s">
        <v>286</v>
      </c>
      <c r="V1" s="88"/>
      <c r="W1" s="88"/>
      <c r="X1" s="34"/>
      <c r="Y1" s="34"/>
      <c r="Z1" s="48" t="s">
        <v>287</v>
      </c>
      <c r="AA1" s="33" t="s">
        <v>288</v>
      </c>
      <c r="AB1" s="86" t="s">
        <v>289</v>
      </c>
      <c r="AC1" s="86"/>
      <c r="AD1" s="86"/>
      <c r="AE1" s="86"/>
      <c r="AF1" s="86"/>
      <c r="AG1" s="86"/>
      <c r="AH1" s="86"/>
      <c r="AI1" s="34"/>
      <c r="AJ1" s="34"/>
      <c r="AK1" s="34"/>
      <c r="AL1" s="34"/>
      <c r="AM1" s="58"/>
    </row>
    <row r="2" spans="1:39" x14ac:dyDescent="0.25">
      <c r="A2" s="56">
        <v>60</v>
      </c>
      <c r="B2">
        <f>A2*1000</f>
        <v>60000</v>
      </c>
      <c r="C2">
        <f>D2*3.14</f>
        <v>31.400000000000002</v>
      </c>
      <c r="D2">
        <v>10</v>
      </c>
      <c r="F2">
        <f>B2/C2</f>
        <v>1910.8280254777069</v>
      </c>
      <c r="G2">
        <f>F2*0.75</f>
        <v>1433.1210191082801</v>
      </c>
      <c r="I2">
        <f>G2</f>
        <v>1433.1210191082801</v>
      </c>
      <c r="J2">
        <v>4</v>
      </c>
      <c r="K2">
        <v>0.05</v>
      </c>
      <c r="L2" s="53">
        <f>K2*J2*I2</f>
        <v>286.62420382165601</v>
      </c>
      <c r="P2" s="81" t="s">
        <v>290</v>
      </c>
      <c r="Q2" s="82"/>
      <c r="R2" s="82"/>
      <c r="S2" s="82"/>
      <c r="T2" s="80"/>
      <c r="U2" s="89" t="s">
        <v>291</v>
      </c>
      <c r="V2" s="89"/>
      <c r="W2" s="89"/>
      <c r="Z2" s="37" t="s">
        <v>292</v>
      </c>
      <c r="AA2" s="37" t="s">
        <v>288</v>
      </c>
      <c r="AB2" s="85" t="s">
        <v>293</v>
      </c>
      <c r="AC2" s="85"/>
      <c r="AD2" s="85"/>
      <c r="AE2" s="85"/>
      <c r="AF2" s="85"/>
      <c r="AG2" s="85"/>
      <c r="AH2" s="85"/>
      <c r="AI2" s="85"/>
      <c r="AJ2" s="85"/>
      <c r="AK2" s="85"/>
      <c r="AL2" s="85"/>
      <c r="AM2" s="99"/>
    </row>
    <row r="3" spans="1:39" x14ac:dyDescent="0.25">
      <c r="A3" s="56">
        <v>80</v>
      </c>
      <c r="B3">
        <f t="shared" ref="B3:B21" si="0">A3*1000</f>
        <v>80000</v>
      </c>
      <c r="C3">
        <f t="shared" ref="C3:C21" si="1">D3*3.14</f>
        <v>37.68</v>
      </c>
      <c r="D3">
        <v>12</v>
      </c>
      <c r="F3">
        <f t="shared" ref="F3:F19" si="2">B3/C3</f>
        <v>2123.1422505307855</v>
      </c>
      <c r="G3">
        <f t="shared" ref="G3:G21" si="3">F3*0.75</f>
        <v>1592.3566878980891</v>
      </c>
      <c r="I3">
        <f t="shared" ref="I3:I19" si="4">G3</f>
        <v>1592.3566878980891</v>
      </c>
      <c r="J3">
        <v>4</v>
      </c>
      <c r="K3">
        <v>0.08</v>
      </c>
      <c r="L3" s="53">
        <f t="shared" ref="L3:L19" si="5">K3*J3*I3</f>
        <v>509.55414012738856</v>
      </c>
      <c r="P3" s="38"/>
      <c r="Z3" s="37" t="s">
        <v>294</v>
      </c>
      <c r="AA3" s="37" t="s">
        <v>288</v>
      </c>
      <c r="AB3" s="85" t="s">
        <v>295</v>
      </c>
      <c r="AC3" s="85"/>
      <c r="AD3" s="85"/>
      <c r="AE3" s="85"/>
      <c r="AF3" s="85"/>
      <c r="AG3" s="85"/>
      <c r="AH3" s="85"/>
      <c r="AM3" s="59"/>
    </row>
    <row r="4" spans="1:39" x14ac:dyDescent="0.25">
      <c r="A4" s="56">
        <v>100</v>
      </c>
      <c r="B4">
        <f t="shared" si="0"/>
        <v>100000</v>
      </c>
      <c r="C4">
        <f t="shared" si="1"/>
        <v>288.88</v>
      </c>
      <c r="D4">
        <v>92</v>
      </c>
      <c r="F4">
        <f t="shared" si="2"/>
        <v>346.16449736914984</v>
      </c>
      <c r="G4">
        <f t="shared" si="3"/>
        <v>259.6233730268624</v>
      </c>
      <c r="I4">
        <f t="shared" si="4"/>
        <v>259.6233730268624</v>
      </c>
      <c r="J4">
        <v>4</v>
      </c>
      <c r="K4">
        <v>0.04</v>
      </c>
      <c r="L4" s="53">
        <f t="shared" si="5"/>
        <v>41.539739684297984</v>
      </c>
      <c r="P4" s="81" t="s">
        <v>296</v>
      </c>
      <c r="Q4" s="82"/>
      <c r="R4" s="82"/>
      <c r="S4" s="82"/>
      <c r="T4" s="82"/>
      <c r="U4" s="82"/>
      <c r="V4" s="82"/>
      <c r="W4" s="82"/>
      <c r="Z4" s="37" t="s">
        <v>297</v>
      </c>
      <c r="AA4" s="37" t="s">
        <v>288</v>
      </c>
      <c r="AB4" s="85" t="s">
        <v>298</v>
      </c>
      <c r="AC4" s="85"/>
      <c r="AD4" s="85"/>
      <c r="AE4" s="85"/>
      <c r="AF4" s="85"/>
      <c r="AG4" s="85"/>
      <c r="AM4" s="59"/>
    </row>
    <row r="5" spans="1:39" ht="18" x14ac:dyDescent="0.25">
      <c r="A5" s="56">
        <v>101</v>
      </c>
      <c r="B5">
        <f t="shared" si="0"/>
        <v>101000</v>
      </c>
      <c r="C5">
        <f t="shared" si="1"/>
        <v>37.68</v>
      </c>
      <c r="D5">
        <v>12</v>
      </c>
      <c r="F5">
        <f t="shared" si="2"/>
        <v>2680.4670912951169</v>
      </c>
      <c r="G5">
        <f t="shared" si="3"/>
        <v>2010.3503184713377</v>
      </c>
      <c r="I5">
        <f t="shared" si="4"/>
        <v>2010.3503184713377</v>
      </c>
      <c r="J5">
        <v>4</v>
      </c>
      <c r="K5">
        <v>0.05</v>
      </c>
      <c r="L5" s="53">
        <f t="shared" si="5"/>
        <v>402.07006369426756</v>
      </c>
      <c r="P5" s="79" t="s">
        <v>333</v>
      </c>
      <c r="Q5" s="80"/>
      <c r="R5" s="80"/>
      <c r="S5" s="80"/>
      <c r="T5" s="80"/>
      <c r="U5" s="80"/>
      <c r="V5" s="80"/>
      <c r="W5" s="80"/>
      <c r="Z5" s="37" t="s">
        <v>299</v>
      </c>
      <c r="AA5" s="37" t="s">
        <v>288</v>
      </c>
      <c r="AB5" s="85" t="s">
        <v>300</v>
      </c>
      <c r="AC5" s="85"/>
      <c r="AD5" s="85"/>
      <c r="AE5" s="85"/>
      <c r="AF5" s="85"/>
      <c r="AG5" s="85"/>
      <c r="AH5" s="85"/>
      <c r="AI5" s="85"/>
      <c r="AM5" s="59"/>
    </row>
    <row r="6" spans="1:39" x14ac:dyDescent="0.25">
      <c r="A6" s="56">
        <v>102</v>
      </c>
      <c r="B6">
        <f t="shared" si="0"/>
        <v>102000</v>
      </c>
      <c r="C6">
        <f t="shared" si="1"/>
        <v>12.56</v>
      </c>
      <c r="D6">
        <v>4</v>
      </c>
      <c r="F6">
        <f t="shared" si="2"/>
        <v>8121.0191082802548</v>
      </c>
      <c r="G6">
        <f t="shared" si="3"/>
        <v>6090.7643312101909</v>
      </c>
      <c r="I6">
        <f t="shared" si="4"/>
        <v>6090.7643312101909</v>
      </c>
      <c r="J6">
        <v>4</v>
      </c>
      <c r="K6">
        <v>0.05</v>
      </c>
      <c r="L6" s="53">
        <f t="shared" si="5"/>
        <v>1218.1528662420383</v>
      </c>
      <c r="P6" s="38"/>
      <c r="Z6" s="37" t="s">
        <v>301</v>
      </c>
      <c r="AA6" s="37" t="s">
        <v>288</v>
      </c>
      <c r="AB6" s="82" t="s">
        <v>302</v>
      </c>
      <c r="AC6" s="82"/>
      <c r="AD6" s="82"/>
      <c r="AE6" s="82"/>
      <c r="AF6" s="82"/>
      <c r="AG6" s="82"/>
      <c r="AH6" s="82"/>
      <c r="AI6" s="82"/>
      <c r="AJ6" s="82"/>
      <c r="AK6" s="82"/>
      <c r="AL6" s="82"/>
      <c r="AM6" s="59"/>
    </row>
    <row r="7" spans="1:39" ht="18" x14ac:dyDescent="0.25">
      <c r="A7" s="56">
        <v>103</v>
      </c>
      <c r="B7">
        <f t="shared" si="0"/>
        <v>103000</v>
      </c>
      <c r="C7">
        <f t="shared" si="1"/>
        <v>15.700000000000001</v>
      </c>
      <c r="D7">
        <v>5</v>
      </c>
      <c r="F7">
        <f t="shared" si="2"/>
        <v>6560.509554140127</v>
      </c>
      <c r="G7">
        <f t="shared" si="3"/>
        <v>4920.382165605095</v>
      </c>
      <c r="I7">
        <f t="shared" si="4"/>
        <v>4920.382165605095</v>
      </c>
      <c r="J7">
        <v>4</v>
      </c>
      <c r="K7">
        <v>0.05</v>
      </c>
      <c r="L7" s="53">
        <f t="shared" si="5"/>
        <v>984.07643312101902</v>
      </c>
      <c r="P7" s="81" t="s">
        <v>303</v>
      </c>
      <c r="Q7" s="82"/>
      <c r="R7" s="82"/>
      <c r="S7" s="82"/>
      <c r="T7" s="82"/>
      <c r="Z7" s="37" t="s">
        <v>331</v>
      </c>
      <c r="AA7" s="37" t="s">
        <v>288</v>
      </c>
      <c r="AB7" t="s">
        <v>304</v>
      </c>
      <c r="AM7" s="59"/>
    </row>
    <row r="8" spans="1:39" ht="18.75" thickBot="1" x14ac:dyDescent="0.3">
      <c r="A8" s="56">
        <v>104</v>
      </c>
      <c r="B8">
        <f t="shared" si="0"/>
        <v>104000</v>
      </c>
      <c r="C8">
        <f t="shared" si="1"/>
        <v>18.84</v>
      </c>
      <c r="D8">
        <v>6</v>
      </c>
      <c r="F8">
        <f t="shared" si="2"/>
        <v>5520.1698513800429</v>
      </c>
      <c r="G8">
        <f t="shared" si="3"/>
        <v>4140.127388535032</v>
      </c>
      <c r="I8">
        <f t="shared" si="4"/>
        <v>4140.127388535032</v>
      </c>
      <c r="J8">
        <v>4</v>
      </c>
      <c r="K8">
        <v>0.05</v>
      </c>
      <c r="L8" s="53">
        <f t="shared" si="5"/>
        <v>828.02547770700642</v>
      </c>
      <c r="P8" s="100" t="s">
        <v>334</v>
      </c>
      <c r="Q8" s="101"/>
      <c r="R8" s="101"/>
      <c r="S8" s="101"/>
      <c r="T8" s="101"/>
      <c r="U8" s="41"/>
      <c r="V8" s="41"/>
      <c r="W8" s="41"/>
      <c r="X8" s="41"/>
      <c r="Y8" s="41"/>
      <c r="Z8" s="60" t="s">
        <v>330</v>
      </c>
      <c r="AA8" s="60" t="s">
        <v>288</v>
      </c>
      <c r="AB8" s="41" t="s">
        <v>305</v>
      </c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6"/>
    </row>
    <row r="9" spans="1:39" x14ac:dyDescent="0.25">
      <c r="A9" s="56">
        <v>105</v>
      </c>
      <c r="B9">
        <f t="shared" si="0"/>
        <v>105000</v>
      </c>
      <c r="C9">
        <f t="shared" si="1"/>
        <v>103.62</v>
      </c>
      <c r="D9">
        <v>33</v>
      </c>
      <c r="F9">
        <f t="shared" si="2"/>
        <v>1013.3178922987839</v>
      </c>
      <c r="G9">
        <f t="shared" si="3"/>
        <v>759.98841922408792</v>
      </c>
      <c r="I9">
        <f t="shared" si="4"/>
        <v>759.98841922408792</v>
      </c>
      <c r="J9">
        <v>4</v>
      </c>
      <c r="K9">
        <v>0.06</v>
      </c>
      <c r="L9" s="53">
        <f t="shared" si="5"/>
        <v>182.39722061378109</v>
      </c>
    </row>
    <row r="10" spans="1:39" x14ac:dyDescent="0.25">
      <c r="A10" s="56">
        <v>106</v>
      </c>
      <c r="B10">
        <f t="shared" si="0"/>
        <v>106000</v>
      </c>
      <c r="C10">
        <f t="shared" si="1"/>
        <v>172.70000000000002</v>
      </c>
      <c r="D10">
        <v>55</v>
      </c>
      <c r="F10">
        <f t="shared" si="2"/>
        <v>613.78112333526337</v>
      </c>
      <c r="G10">
        <f t="shared" si="3"/>
        <v>460.33584250144753</v>
      </c>
      <c r="I10">
        <f t="shared" si="4"/>
        <v>460.33584250144753</v>
      </c>
      <c r="J10">
        <v>4</v>
      </c>
      <c r="K10">
        <v>0.08</v>
      </c>
      <c r="L10" s="53">
        <f t="shared" si="5"/>
        <v>147.30746960046321</v>
      </c>
    </row>
    <row r="11" spans="1:39" x14ac:dyDescent="0.25">
      <c r="A11" s="56">
        <v>107</v>
      </c>
      <c r="B11">
        <f t="shared" si="0"/>
        <v>107000</v>
      </c>
      <c r="C11">
        <f t="shared" si="1"/>
        <v>37.68</v>
      </c>
      <c r="D11">
        <v>12</v>
      </c>
      <c r="F11">
        <f t="shared" si="2"/>
        <v>2839.7027600849256</v>
      </c>
      <c r="G11">
        <f t="shared" si="3"/>
        <v>2129.7770700636943</v>
      </c>
      <c r="I11">
        <f t="shared" si="4"/>
        <v>2129.7770700636943</v>
      </c>
      <c r="J11">
        <v>4</v>
      </c>
      <c r="K11">
        <v>0.04</v>
      </c>
      <c r="L11" s="53">
        <f t="shared" si="5"/>
        <v>340.76433121019107</v>
      </c>
    </row>
    <row r="12" spans="1:39" x14ac:dyDescent="0.25">
      <c r="A12" s="56">
        <v>108</v>
      </c>
      <c r="B12">
        <f t="shared" si="0"/>
        <v>108000</v>
      </c>
      <c r="C12">
        <f t="shared" si="1"/>
        <v>172.70000000000002</v>
      </c>
      <c r="D12">
        <v>55</v>
      </c>
      <c r="F12">
        <f t="shared" si="2"/>
        <v>625.36189924724954</v>
      </c>
      <c r="G12">
        <f t="shared" si="3"/>
        <v>469.02142443543715</v>
      </c>
      <c r="I12">
        <f t="shared" si="4"/>
        <v>469.02142443543715</v>
      </c>
      <c r="J12">
        <v>4</v>
      </c>
      <c r="K12">
        <v>0.03</v>
      </c>
      <c r="L12" s="53">
        <f t="shared" si="5"/>
        <v>56.282570932252455</v>
      </c>
    </row>
    <row r="13" spans="1:39" x14ac:dyDescent="0.25">
      <c r="A13" s="56">
        <v>109</v>
      </c>
      <c r="B13">
        <f t="shared" si="0"/>
        <v>109000</v>
      </c>
      <c r="C13">
        <f t="shared" si="1"/>
        <v>100.48</v>
      </c>
      <c r="D13">
        <v>32</v>
      </c>
      <c r="F13">
        <f t="shared" si="2"/>
        <v>1084.7929936305732</v>
      </c>
      <c r="G13">
        <f t="shared" si="3"/>
        <v>813.59474522292987</v>
      </c>
      <c r="I13">
        <f t="shared" si="4"/>
        <v>813.59474522292987</v>
      </c>
      <c r="J13">
        <v>4</v>
      </c>
      <c r="K13">
        <v>7.0000000000000007E-2</v>
      </c>
      <c r="L13" s="53">
        <f t="shared" si="5"/>
        <v>227.80652866242039</v>
      </c>
    </row>
    <row r="14" spans="1:39" x14ac:dyDescent="0.25">
      <c r="A14" s="56">
        <v>110</v>
      </c>
      <c r="B14">
        <f t="shared" si="0"/>
        <v>110000</v>
      </c>
      <c r="C14">
        <f t="shared" si="1"/>
        <v>200.96</v>
      </c>
      <c r="D14">
        <v>64</v>
      </c>
      <c r="F14">
        <f t="shared" si="2"/>
        <v>547.37261146496814</v>
      </c>
      <c r="G14">
        <f t="shared" si="3"/>
        <v>410.52945859872614</v>
      </c>
      <c r="I14">
        <f t="shared" si="4"/>
        <v>410.52945859872614</v>
      </c>
      <c r="J14">
        <v>4</v>
      </c>
      <c r="K14">
        <v>0.09</v>
      </c>
      <c r="L14" s="53">
        <f t="shared" si="5"/>
        <v>147.79060509554139</v>
      </c>
    </row>
    <row r="15" spans="1:39" x14ac:dyDescent="0.25">
      <c r="A15" s="56">
        <v>111</v>
      </c>
      <c r="B15">
        <f t="shared" si="0"/>
        <v>111000</v>
      </c>
      <c r="C15">
        <f t="shared" si="1"/>
        <v>37.68</v>
      </c>
      <c r="D15">
        <v>12</v>
      </c>
      <c r="F15">
        <f t="shared" si="2"/>
        <v>2945.8598726114651</v>
      </c>
      <c r="G15">
        <f t="shared" si="3"/>
        <v>2209.3949044585988</v>
      </c>
      <c r="I15">
        <f t="shared" si="4"/>
        <v>2209.3949044585988</v>
      </c>
      <c r="J15">
        <v>4</v>
      </c>
      <c r="K15">
        <v>0.05</v>
      </c>
      <c r="L15" s="53">
        <f t="shared" si="5"/>
        <v>441.87898089171978</v>
      </c>
    </row>
    <row r="16" spans="1:39" x14ac:dyDescent="0.25">
      <c r="A16" s="56">
        <v>112</v>
      </c>
      <c r="B16">
        <f t="shared" si="0"/>
        <v>112000</v>
      </c>
      <c r="C16">
        <f t="shared" si="1"/>
        <v>169.56</v>
      </c>
      <c r="D16">
        <v>54</v>
      </c>
      <c r="F16">
        <f t="shared" si="2"/>
        <v>660.53314460957768</v>
      </c>
      <c r="G16">
        <f t="shared" si="3"/>
        <v>495.39985845718326</v>
      </c>
      <c r="I16">
        <f t="shared" si="4"/>
        <v>495.39985845718326</v>
      </c>
      <c r="J16">
        <v>4</v>
      </c>
      <c r="K16">
        <v>0.06</v>
      </c>
      <c r="L16" s="53">
        <f t="shared" si="5"/>
        <v>118.89596602972398</v>
      </c>
    </row>
    <row r="17" spans="1:16" x14ac:dyDescent="0.25">
      <c r="A17" s="56">
        <v>113</v>
      </c>
      <c r="B17">
        <f t="shared" si="0"/>
        <v>113000</v>
      </c>
      <c r="C17">
        <f t="shared" si="1"/>
        <v>37.68</v>
      </c>
      <c r="D17">
        <v>12</v>
      </c>
      <c r="F17">
        <f t="shared" si="2"/>
        <v>2998.9384288747347</v>
      </c>
      <c r="G17">
        <f t="shared" si="3"/>
        <v>2249.2038216560509</v>
      </c>
      <c r="I17">
        <f t="shared" si="4"/>
        <v>2249.2038216560509</v>
      </c>
      <c r="J17">
        <v>4</v>
      </c>
      <c r="K17">
        <v>7.0000000000000007E-2</v>
      </c>
      <c r="L17" s="53">
        <f t="shared" si="5"/>
        <v>629.77707006369428</v>
      </c>
      <c r="P17" s="28"/>
    </row>
    <row r="18" spans="1:16" x14ac:dyDescent="0.25">
      <c r="A18" s="56">
        <v>114</v>
      </c>
      <c r="B18">
        <f t="shared" si="0"/>
        <v>114000</v>
      </c>
      <c r="C18">
        <f t="shared" si="1"/>
        <v>169.56</v>
      </c>
      <c r="D18">
        <v>54</v>
      </c>
      <c r="F18">
        <f t="shared" si="2"/>
        <v>672.32837933474877</v>
      </c>
      <c r="G18">
        <f t="shared" si="3"/>
        <v>504.24628450106161</v>
      </c>
      <c r="I18">
        <f t="shared" si="4"/>
        <v>504.24628450106161</v>
      </c>
      <c r="J18">
        <v>4</v>
      </c>
      <c r="K18">
        <v>0.04</v>
      </c>
      <c r="L18" s="53">
        <f t="shared" si="5"/>
        <v>80.679405520169865</v>
      </c>
    </row>
    <row r="19" spans="1:16" x14ac:dyDescent="0.25">
      <c r="A19" s="56">
        <v>115</v>
      </c>
      <c r="B19">
        <f t="shared" si="0"/>
        <v>115000</v>
      </c>
      <c r="C19">
        <f t="shared" si="1"/>
        <v>3.14</v>
      </c>
      <c r="D19">
        <v>1</v>
      </c>
      <c r="F19">
        <f t="shared" si="2"/>
        <v>36624.203821656047</v>
      </c>
      <c r="G19">
        <f t="shared" si="3"/>
        <v>27468.152866242035</v>
      </c>
      <c r="I19">
        <f t="shared" si="4"/>
        <v>27468.152866242035</v>
      </c>
      <c r="J19">
        <v>4</v>
      </c>
      <c r="K19">
        <v>0.02</v>
      </c>
      <c r="L19" s="53">
        <f t="shared" si="5"/>
        <v>2197.4522292993629</v>
      </c>
    </row>
    <row r="20" spans="1:16" ht="15.75" thickBot="1" x14ac:dyDescent="0.3">
      <c r="A20" s="57">
        <v>116</v>
      </c>
      <c r="B20" s="41">
        <f t="shared" si="0"/>
        <v>116000</v>
      </c>
      <c r="C20" s="41">
        <f t="shared" si="1"/>
        <v>72.22</v>
      </c>
      <c r="D20" s="41">
        <v>23</v>
      </c>
      <c r="E20" s="41"/>
      <c r="F20" s="41">
        <f>B20/C20</f>
        <v>1606.2032677928553</v>
      </c>
      <c r="G20" s="41">
        <f t="shared" si="3"/>
        <v>1204.6524508446414</v>
      </c>
      <c r="H20" s="41"/>
      <c r="I20" s="41">
        <f>G20</f>
        <v>1204.6524508446414</v>
      </c>
      <c r="J20" s="41">
        <v>4</v>
      </c>
      <c r="K20" s="41">
        <v>0.08</v>
      </c>
      <c r="L20" s="54">
        <f>K20*J20*I20</f>
        <v>385.48878427028524</v>
      </c>
    </row>
    <row r="21" spans="1:16" ht="15.75" thickBot="1" x14ac:dyDescent="0.3">
      <c r="A21" s="56">
        <v>80</v>
      </c>
      <c r="B21">
        <f t="shared" si="0"/>
        <v>80000</v>
      </c>
      <c r="C21" s="41">
        <f t="shared" si="1"/>
        <v>62.800000000000004</v>
      </c>
      <c r="D21" s="41">
        <v>20</v>
      </c>
      <c r="F21" s="41">
        <f>B21/C21</f>
        <v>1273.8853503184712</v>
      </c>
      <c r="G21" s="41">
        <f t="shared" si="3"/>
        <v>955.41401273885344</v>
      </c>
      <c r="I21" s="41">
        <f>G21</f>
        <v>955.41401273885344</v>
      </c>
      <c r="J21">
        <v>3</v>
      </c>
      <c r="K21">
        <v>0.05</v>
      </c>
      <c r="L21" s="54">
        <f>K21*J21*I21</f>
        <v>143.31210191082803</v>
      </c>
    </row>
  </sheetData>
  <mergeCells count="15">
    <mergeCell ref="P7:T7"/>
    <mergeCell ref="P8:T8"/>
    <mergeCell ref="P1:S1"/>
    <mergeCell ref="T1:T2"/>
    <mergeCell ref="U1:W1"/>
    <mergeCell ref="AB6:AL6"/>
    <mergeCell ref="P2:S2"/>
    <mergeCell ref="U2:W2"/>
    <mergeCell ref="AB1:AH1"/>
    <mergeCell ref="AB2:AM2"/>
    <mergeCell ref="AB3:AH3"/>
    <mergeCell ref="P4:W4"/>
    <mergeCell ref="P5:W5"/>
    <mergeCell ref="AB4:AG4"/>
    <mergeCell ref="AB5:AI5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BD96F-A986-460A-A3A0-68F4CC5B012A}">
  <dimension ref="A1:V18"/>
  <sheetViews>
    <sheetView zoomScale="115" zoomScaleNormal="115" workbookViewId="0">
      <selection activeCell="AD8" sqref="AD8"/>
    </sheetView>
  </sheetViews>
  <sheetFormatPr defaultRowHeight="15" x14ac:dyDescent="0.25"/>
  <cols>
    <col min="1" max="94" width="3.28515625" style="1" customWidth="1"/>
    <col min="95" max="16384" width="9.140625" style="1"/>
  </cols>
  <sheetData>
    <row r="1" spans="1:22" ht="15.75" thickBot="1" x14ac:dyDescent="0.3"/>
    <row r="2" spans="1:22" ht="21" thickBot="1" x14ac:dyDescent="0.3">
      <c r="A2" s="123" t="s">
        <v>336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5"/>
    </row>
    <row r="3" spans="1:22" x14ac:dyDescent="0.25">
      <c r="A3" s="122" t="s">
        <v>337</v>
      </c>
      <c r="B3" s="93"/>
      <c r="C3" s="93"/>
      <c r="D3" s="93"/>
      <c r="E3" s="93"/>
      <c r="F3" s="93"/>
      <c r="G3" s="93"/>
      <c r="H3" s="93"/>
      <c r="I3" s="126"/>
      <c r="J3" s="93"/>
      <c r="K3" s="93"/>
      <c r="L3" s="93"/>
      <c r="M3" s="93"/>
      <c r="N3" s="93"/>
      <c r="O3" s="93"/>
      <c r="P3" s="93"/>
      <c r="Q3" s="93"/>
      <c r="R3" s="93"/>
      <c r="S3" s="126"/>
      <c r="T3" s="62" t="s">
        <v>338</v>
      </c>
      <c r="U3" s="63"/>
      <c r="V3" s="64"/>
    </row>
    <row r="4" spans="1:22" x14ac:dyDescent="0.25">
      <c r="A4" s="61" t="s">
        <v>339</v>
      </c>
      <c r="I4" s="39"/>
      <c r="J4" s="93"/>
      <c r="K4" s="93"/>
      <c r="L4" s="93"/>
      <c r="M4" s="93"/>
      <c r="N4" s="93"/>
      <c r="O4" s="93"/>
      <c r="P4" s="93"/>
      <c r="Q4" s="93"/>
      <c r="R4" s="93"/>
      <c r="S4" s="126"/>
      <c r="T4" s="105" t="s">
        <v>343</v>
      </c>
      <c r="U4" s="106"/>
      <c r="V4" s="107"/>
    </row>
    <row r="5" spans="1:22" x14ac:dyDescent="0.25">
      <c r="A5" s="127" t="s">
        <v>184</v>
      </c>
      <c r="B5" s="128"/>
      <c r="C5" s="128"/>
      <c r="D5" s="128"/>
      <c r="E5" s="128"/>
      <c r="F5" s="128"/>
      <c r="G5" s="128"/>
      <c r="H5" s="128"/>
      <c r="I5" s="129"/>
      <c r="J5" s="93"/>
      <c r="K5" s="93"/>
      <c r="L5" s="93"/>
      <c r="M5" s="93"/>
      <c r="N5" s="93"/>
      <c r="O5" s="93"/>
      <c r="P5" s="93"/>
      <c r="Q5" s="93"/>
      <c r="R5" s="93"/>
      <c r="S5" s="126"/>
      <c r="T5" s="105" t="s">
        <v>183</v>
      </c>
      <c r="U5" s="106"/>
      <c r="V5" s="107"/>
    </row>
    <row r="6" spans="1:22" x14ac:dyDescent="0.25">
      <c r="A6" s="127" t="s">
        <v>340</v>
      </c>
      <c r="B6" s="128"/>
      <c r="C6" s="128"/>
      <c r="D6" s="128"/>
      <c r="E6" s="128"/>
      <c r="F6" s="128"/>
      <c r="G6" s="128"/>
      <c r="H6" s="128"/>
      <c r="I6" s="129"/>
      <c r="J6" s="93"/>
      <c r="K6" s="93"/>
      <c r="L6" s="93"/>
      <c r="M6" s="93"/>
      <c r="N6" s="93"/>
      <c r="O6" s="93"/>
      <c r="P6" s="93"/>
      <c r="Q6" s="93"/>
      <c r="R6" s="93"/>
      <c r="S6" s="126"/>
      <c r="T6" s="105" t="s">
        <v>185</v>
      </c>
      <c r="U6" s="106"/>
      <c r="V6" s="107"/>
    </row>
    <row r="7" spans="1:22" ht="15.75" thickBot="1" x14ac:dyDescent="0.3">
      <c r="A7" s="127" t="s">
        <v>341</v>
      </c>
      <c r="B7" s="128"/>
      <c r="C7" s="128"/>
      <c r="D7" s="128"/>
      <c r="E7" s="128"/>
      <c r="F7" s="128"/>
      <c r="G7" s="128"/>
      <c r="H7" s="128"/>
      <c r="I7" s="129"/>
      <c r="J7" s="111"/>
      <c r="K7" s="111"/>
      <c r="L7" s="111"/>
      <c r="M7" s="111"/>
      <c r="N7" s="111"/>
      <c r="O7" s="111"/>
      <c r="P7" s="111"/>
      <c r="Q7" s="111"/>
      <c r="R7" s="111"/>
      <c r="S7" s="132"/>
      <c r="T7" s="105" t="s">
        <v>344</v>
      </c>
      <c r="U7" s="106"/>
      <c r="V7" s="107"/>
    </row>
    <row r="8" spans="1:22" ht="15.75" thickBot="1" x14ac:dyDescent="0.3">
      <c r="A8" s="130" t="s">
        <v>342</v>
      </c>
      <c r="B8" s="131"/>
      <c r="C8" s="131"/>
      <c r="D8" s="131"/>
      <c r="E8" s="131"/>
      <c r="F8" s="131"/>
      <c r="G8" s="131"/>
      <c r="H8" s="131"/>
      <c r="I8" s="131"/>
      <c r="J8" s="133" t="s">
        <v>345</v>
      </c>
      <c r="K8" s="134"/>
      <c r="L8" s="134"/>
      <c r="M8" s="134"/>
      <c r="N8" s="134"/>
      <c r="O8" s="134"/>
      <c r="P8" s="134"/>
      <c r="Q8" s="134"/>
      <c r="R8" s="134"/>
      <c r="S8" s="135"/>
      <c r="T8" s="105" t="s">
        <v>350</v>
      </c>
      <c r="U8" s="106"/>
      <c r="V8" s="107"/>
    </row>
    <row r="9" spans="1:22" x14ac:dyDescent="0.25">
      <c r="A9" s="120"/>
      <c r="B9" s="121"/>
      <c r="C9" s="121"/>
      <c r="D9" s="121"/>
      <c r="E9" s="121"/>
      <c r="F9" s="121"/>
      <c r="G9" s="121"/>
      <c r="H9" s="121"/>
      <c r="I9" s="121"/>
      <c r="J9" s="105" t="s">
        <v>346</v>
      </c>
      <c r="K9" s="106"/>
      <c r="L9" s="106"/>
      <c r="M9" s="106"/>
      <c r="N9" s="106"/>
      <c r="O9" s="106"/>
      <c r="P9" s="106"/>
      <c r="Q9" s="106"/>
      <c r="R9" s="106"/>
      <c r="S9" s="118"/>
      <c r="T9" s="105" t="s">
        <v>351</v>
      </c>
      <c r="U9" s="106"/>
      <c r="V9" s="107"/>
    </row>
    <row r="10" spans="1:22" x14ac:dyDescent="0.25">
      <c r="A10" s="122"/>
      <c r="B10" s="93"/>
      <c r="C10" s="93"/>
      <c r="D10" s="93"/>
      <c r="E10" s="93"/>
      <c r="F10" s="93"/>
      <c r="G10" s="93"/>
      <c r="H10" s="93"/>
      <c r="I10" s="93"/>
      <c r="J10" s="105" t="s">
        <v>347</v>
      </c>
      <c r="K10" s="106"/>
      <c r="L10" s="106"/>
      <c r="M10" s="106"/>
      <c r="N10" s="106"/>
      <c r="O10" s="106"/>
      <c r="P10" s="106"/>
      <c r="Q10" s="106"/>
      <c r="R10" s="106"/>
      <c r="S10" s="118"/>
      <c r="T10" s="105" t="s">
        <v>352</v>
      </c>
      <c r="U10" s="106"/>
      <c r="V10" s="107"/>
    </row>
    <row r="11" spans="1:22" x14ac:dyDescent="0.25">
      <c r="A11" s="122"/>
      <c r="B11" s="93"/>
      <c r="C11" s="93"/>
      <c r="D11" s="93"/>
      <c r="E11" s="93"/>
      <c r="F11" s="93"/>
      <c r="G11" s="93"/>
      <c r="H11" s="93"/>
      <c r="I11" s="93"/>
      <c r="J11" s="105" t="s">
        <v>348</v>
      </c>
      <c r="K11" s="106"/>
      <c r="L11" s="106"/>
      <c r="M11" s="106"/>
      <c r="N11" s="106"/>
      <c r="O11" s="106"/>
      <c r="P11" s="106"/>
      <c r="Q11" s="106"/>
      <c r="R11" s="106"/>
      <c r="S11" s="118"/>
      <c r="T11" s="105" t="s">
        <v>226</v>
      </c>
      <c r="U11" s="106"/>
      <c r="V11" s="107"/>
    </row>
    <row r="12" spans="1:22" ht="15.75" thickBot="1" x14ac:dyDescent="0.3">
      <c r="A12" s="122"/>
      <c r="B12" s="93"/>
      <c r="C12" s="93"/>
      <c r="D12" s="93"/>
      <c r="E12" s="93"/>
      <c r="F12" s="93"/>
      <c r="G12" s="93"/>
      <c r="H12" s="93"/>
      <c r="I12" s="93"/>
      <c r="J12" s="112" t="s">
        <v>349</v>
      </c>
      <c r="K12" s="113"/>
      <c r="L12" s="113"/>
      <c r="M12" s="113"/>
      <c r="N12" s="113"/>
      <c r="O12" s="113"/>
      <c r="P12" s="113"/>
      <c r="Q12" s="113"/>
      <c r="R12" s="113"/>
      <c r="S12" s="119"/>
      <c r="T12" s="112" t="s">
        <v>181</v>
      </c>
      <c r="U12" s="113"/>
      <c r="V12" s="114"/>
    </row>
    <row r="13" spans="1:22" ht="15.75" thickBot="1" x14ac:dyDescent="0.3">
      <c r="A13" s="115"/>
      <c r="B13" s="116"/>
      <c r="C13" s="116"/>
      <c r="D13" s="116"/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6"/>
      <c r="P13" s="116"/>
      <c r="Q13" s="116"/>
      <c r="R13" s="116"/>
      <c r="S13" s="116"/>
      <c r="T13" s="116"/>
      <c r="U13" s="116"/>
      <c r="V13" s="117"/>
    </row>
    <row r="14" spans="1:22" x14ac:dyDescent="0.25">
      <c r="A14" s="102" t="s">
        <v>353</v>
      </c>
      <c r="B14" s="103"/>
      <c r="C14" s="103"/>
      <c r="D14" s="103"/>
      <c r="E14" s="103"/>
      <c r="F14" s="103"/>
      <c r="G14" s="103"/>
      <c r="H14" s="103"/>
      <c r="I14" s="104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102" t="s">
        <v>357</v>
      </c>
      <c r="U14" s="103"/>
      <c r="V14" s="104"/>
    </row>
    <row r="15" spans="1:22" x14ac:dyDescent="0.25">
      <c r="A15" s="105" t="s">
        <v>354</v>
      </c>
      <c r="B15" s="106"/>
      <c r="C15" s="106"/>
      <c r="D15" s="106"/>
      <c r="E15" s="106"/>
      <c r="F15" s="106"/>
      <c r="G15" s="106"/>
      <c r="H15" s="106"/>
      <c r="I15" s="107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105" t="s">
        <v>179</v>
      </c>
      <c r="U15" s="106"/>
      <c r="V15" s="107"/>
    </row>
    <row r="16" spans="1:22" x14ac:dyDescent="0.25">
      <c r="A16" s="105" t="s">
        <v>355</v>
      </c>
      <c r="B16" s="106"/>
      <c r="C16" s="106"/>
      <c r="D16" s="106"/>
      <c r="E16" s="106"/>
      <c r="F16" s="106"/>
      <c r="G16" s="106"/>
      <c r="H16" s="106"/>
      <c r="I16" s="107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105" t="s">
        <v>189</v>
      </c>
      <c r="U16" s="106"/>
      <c r="V16" s="107"/>
    </row>
    <row r="17" spans="1:22" ht="15.75" thickBot="1" x14ac:dyDescent="0.3">
      <c r="A17" s="108" t="s">
        <v>356</v>
      </c>
      <c r="B17" s="109"/>
      <c r="C17" s="109"/>
      <c r="D17" s="109"/>
      <c r="E17" s="109"/>
      <c r="F17" s="109"/>
      <c r="G17" s="109"/>
      <c r="H17" s="109"/>
      <c r="I17" s="110"/>
      <c r="J17" s="111"/>
      <c r="K17" s="111"/>
      <c r="L17" s="111"/>
      <c r="M17" s="111"/>
      <c r="N17" s="111"/>
      <c r="O17" s="111"/>
      <c r="P17" s="111"/>
      <c r="Q17" s="111"/>
      <c r="R17" s="111"/>
      <c r="S17" s="111"/>
      <c r="T17" s="108" t="s">
        <v>187</v>
      </c>
      <c r="U17" s="109"/>
      <c r="V17" s="110"/>
    </row>
    <row r="18" spans="1:22" x14ac:dyDescent="0.25">
      <c r="A18" s="93"/>
      <c r="B18" s="93"/>
      <c r="C18" s="93"/>
      <c r="D18" s="93"/>
      <c r="E18" s="93"/>
      <c r="F18" s="93"/>
      <c r="G18" s="93"/>
      <c r="H18" s="93"/>
      <c r="I18" s="93"/>
    </row>
  </sheetData>
  <mergeCells count="33">
    <mergeCell ref="A2:V2"/>
    <mergeCell ref="T6:V6"/>
    <mergeCell ref="T7:V7"/>
    <mergeCell ref="A3:I3"/>
    <mergeCell ref="T8:V8"/>
    <mergeCell ref="A5:I5"/>
    <mergeCell ref="A6:I6"/>
    <mergeCell ref="A7:I7"/>
    <mergeCell ref="A8:I8"/>
    <mergeCell ref="J3:S7"/>
    <mergeCell ref="J8:S8"/>
    <mergeCell ref="T4:V4"/>
    <mergeCell ref="T5:V5"/>
    <mergeCell ref="T9:V9"/>
    <mergeCell ref="T10:V10"/>
    <mergeCell ref="T11:V11"/>
    <mergeCell ref="T12:V12"/>
    <mergeCell ref="A14:I14"/>
    <mergeCell ref="A13:V13"/>
    <mergeCell ref="J10:S10"/>
    <mergeCell ref="J9:S9"/>
    <mergeCell ref="J11:S11"/>
    <mergeCell ref="J12:S12"/>
    <mergeCell ref="A9:I12"/>
    <mergeCell ref="A18:I18"/>
    <mergeCell ref="T14:V14"/>
    <mergeCell ref="T15:V15"/>
    <mergeCell ref="T16:V16"/>
    <mergeCell ref="T17:V17"/>
    <mergeCell ref="J14:S17"/>
    <mergeCell ref="A15:I15"/>
    <mergeCell ref="A16:I16"/>
    <mergeCell ref="A17:I1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D153F-88C3-464F-80F4-B0ACC5684EA6}">
  <dimension ref="A1"/>
  <sheetViews>
    <sheetView zoomScale="70" zoomScaleNormal="70" workbookViewId="0">
      <selection activeCell="V41" sqref="V41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C8A896FB435E4E92774707790FF9E9" ma:contentTypeVersion="1" ma:contentTypeDescription="Create a new document." ma:contentTypeScope="" ma:versionID="cb3dc2e1074b925f9e860290d3be4f63">
  <xsd:schema xmlns:xsd="http://www.w3.org/2001/XMLSchema" xmlns:xs="http://www.w3.org/2001/XMLSchema" xmlns:p="http://schemas.microsoft.com/office/2006/metadata/properties" xmlns:ns3="2df2a966-5665-48c7-b823-a6b161076064" targetNamespace="http://schemas.microsoft.com/office/2006/metadata/properties" ma:root="true" ma:fieldsID="ba8b15f4819570cdbdef65c3b24953e9" ns3:_="">
    <xsd:import namespace="2df2a966-5665-48c7-b823-a6b16107606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f2a966-5665-48c7-b823-a6b16107606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C60BF3D-6190-4A7B-A469-015756472569}">
  <ds:schemaRefs>
    <ds:schemaRef ds:uri="2df2a966-5665-48c7-b823-a6b161076064"/>
    <ds:schemaRef ds:uri="http://www.w3.org/XML/1998/namespace"/>
    <ds:schemaRef ds:uri="http://schemas.openxmlformats.org/package/2006/metadata/core-properties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E95FD3EC-C863-4B31-B089-F8325CB730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f2a966-5665-48c7-b823-a6b1610760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E6AABC7-EB12-4AFC-945E-0BC157509F14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5c1a364-b644-4a18-bd7a-f34f7d7a9b99}" enabled="0" method="" siteId="{85c1a364-b644-4a18-bd7a-f34f7d7a9b9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CNC Codes</vt:lpstr>
      <vt:lpstr>Formula</vt:lpstr>
      <vt:lpstr>Table of Formulas</vt:lpstr>
      <vt:lpstr>Functions and Addresses</vt:lpstr>
      <vt:lpstr>Tables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Ramazan Huseinov (Student - ATC)</dc:creator>
  <cp:keywords/>
  <dc:description/>
  <cp:lastModifiedBy>Ramazan Huseinov (Student - ATC)</cp:lastModifiedBy>
  <cp:revision/>
  <dcterms:created xsi:type="dcterms:W3CDTF">2026-02-17T10:56:23Z</dcterms:created>
  <dcterms:modified xsi:type="dcterms:W3CDTF">2026-03-05T15:04:30Z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0x010100FFC8A896FB435E4E92774707790FF9E9</vt:lpwstr>
  </property>
</Properties>
</file>